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kandiacol-my.sharepoint.com/personal/dparrado_skandia_com_co/Documents/pmitra/"/>
    </mc:Choice>
  </mc:AlternateContent>
  <xr:revisionPtr revIDLastSave="56" documentId="8_{1D32686E-C031-4266-A6A2-8215F4436447}" xr6:coauthVersionLast="47" xr6:coauthVersionMax="47" xr10:uidLastSave="{2D226754-DAA7-4C71-89A5-1C6B9988D9EC}"/>
  <bookViews>
    <workbookView xWindow="-108" yWindow="-108" windowWidth="23256" windowHeight="13896" activeTab="4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externalReferences>
    <externalReference r:id="rId6"/>
  </externalReferences>
  <definedNames>
    <definedName name="_xlnm._FilterDatabase" localSheetId="0" hidden="1">'2021'!$A$1:$M$76</definedName>
    <definedName name="_xlnm._FilterDatabase" localSheetId="2" hidden="1">'2023'!$A$5:$W$93</definedName>
    <definedName name="_xlnm._FilterDatabase" localSheetId="3" hidden="1">'2024'!$A$5:$M$93</definedName>
    <definedName name="_xlnm._FilterDatabase" localSheetId="4" hidden="1">'2025'!$A$5:$S$91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7" i="3" l="1"/>
  <c r="V78" i="3"/>
  <c r="V79" i="3"/>
  <c r="V80" i="3"/>
  <c r="V81" i="3"/>
  <c r="V82" i="3"/>
  <c r="V83" i="3"/>
  <c r="V84" i="3"/>
  <c r="V85" i="3"/>
  <c r="V86" i="3"/>
  <c r="V87" i="3"/>
  <c r="V88" i="3"/>
  <c r="V7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6" i="3"/>
  <c r="AA38" i="3"/>
  <c r="AA37" i="3"/>
  <c r="AB7" i="3"/>
  <c r="AC7" i="3" s="1"/>
  <c r="AB6" i="3"/>
  <c r="AC6" i="3" s="1"/>
  <c r="AA7" i="3"/>
  <c r="AA6" i="3"/>
  <c r="Q41" i="3"/>
  <c r="Q40" i="3"/>
  <c r="I26" i="3"/>
  <c r="E73" i="3"/>
  <c r="E74" i="3"/>
  <c r="E75" i="3"/>
  <c r="E72" i="3"/>
  <c r="E53" i="3"/>
  <c r="E54" i="3"/>
  <c r="E55" i="3"/>
  <c r="E52" i="3"/>
  <c r="E41" i="3"/>
  <c r="E40" i="3"/>
  <c r="E57" i="3"/>
  <c r="E58" i="3"/>
  <c r="E59" i="3"/>
  <c r="E60" i="3"/>
  <c r="E61" i="3"/>
  <c r="E62" i="3"/>
  <c r="E56" i="3"/>
  <c r="E67" i="3"/>
  <c r="E68" i="3"/>
  <c r="E69" i="3"/>
  <c r="E70" i="3"/>
  <c r="E71" i="3"/>
  <c r="E66" i="3"/>
  <c r="E44" i="3"/>
  <c r="E45" i="3"/>
  <c r="E43" i="3"/>
  <c r="J42" i="2"/>
  <c r="J43" i="2"/>
  <c r="J44" i="2"/>
  <c r="J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Garcia, Edyth Juliana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D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F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G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I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J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L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M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Garcia, Edyth Juliana</author>
  </authors>
  <commentList>
    <comment ref="C5" authorId="0" shapeId="0" xr:uid="{66724BBE-3164-4F67-8CBD-B82C52C6D279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D5" authorId="0" shapeId="0" xr:uid="{3A015C17-27E1-492C-A5EC-5F2A9174CE4A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F5" authorId="0" shapeId="0" xr:uid="{D778174B-B37B-4018-98A3-1C12E61E0A0A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G5" authorId="0" shapeId="0" xr:uid="{CCE520D9-7174-4F95-8337-6E13DB225BB7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I5" authorId="0" shapeId="0" xr:uid="{845FA103-060A-4972-96B6-0DF6DCD9C417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J5" authorId="0" shapeId="0" xr:uid="{56D49452-5D5C-4D05-88FD-D4B73EC8F854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L5" authorId="0" shapeId="0" xr:uid="{3302CF98-66A2-42D0-B1FC-D0E67401543F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M5" authorId="0" shapeId="0" xr:uid="{A6BC7A5D-B7EC-41F7-93CD-B7E2CD01798C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Garcia, Edyth Juliana</author>
  </authors>
  <commentList>
    <comment ref="D5" authorId="0" shapeId="0" xr:uid="{5541AA21-A42C-4A81-BE9C-BE3128CB2816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E5" authorId="0" shapeId="0" xr:uid="{271D07CE-7C82-4536-A5FA-70AECD07E966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H5" authorId="0" shapeId="0" xr:uid="{1630D258-8FD8-44CA-8015-E095E98F198F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I5" authorId="0" shapeId="0" xr:uid="{0F97113C-C0F6-442A-8CA0-D9E1B1A8F944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L5" authorId="0" shapeId="0" xr:uid="{55381A81-8031-4C42-A107-A552D708E8BC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M5" authorId="0" shapeId="0" xr:uid="{424EAC96-4A9A-4927-A38D-BEB3C6A18564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P5" authorId="0" shapeId="0" xr:uid="{3E28B157-0A38-4D7C-A329-11040A93E1AC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Q5" authorId="0" shapeId="0" xr:uid="{4297304A-D4A9-4065-9265-03DB970CA199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T5" authorId="0" shapeId="0" xr:uid="{8770677E-983C-4D20-BA06-FDA705289735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U5" authorId="0" shapeId="0" xr:uid="{B233CD2A-BDD9-46E2-8C6B-F861426515BE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Garcia, Edyth Juliana</author>
  </authors>
  <commentList>
    <comment ref="D5" authorId="0" shapeId="0" xr:uid="{EF1835BC-7D88-4FB7-A504-CF9F2157C245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E5" authorId="0" shapeId="0" xr:uid="{CA9C0A16-58A5-4FCB-B3A1-85A665480BEE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H5" authorId="0" shapeId="0" xr:uid="{43DE94B7-CB75-4622-8DA9-53D47F34D974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I5" authorId="0" shapeId="0" xr:uid="{BAE6B79D-B470-47C4-B779-43B083BAF0A2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  <comment ref="L5" authorId="0" shapeId="0" xr:uid="{3836CD8D-F1C6-483A-A8D2-1BB596D7949C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VALORACION</t>
        </r>
      </text>
    </comment>
    <comment ref="M5" authorId="0" shapeId="0" xr:uid="{851712F5-E427-49D7-BBB7-68AC93B3541D}">
      <text>
        <r>
          <rPr>
            <b/>
            <sz val="9"/>
            <color indexed="81"/>
            <rFont val="Tahoma"/>
            <family val="2"/>
          </rPr>
          <t>Garcia, Edyth Juliana:</t>
        </r>
        <r>
          <rPr>
            <sz val="9"/>
            <color indexed="81"/>
            <rFont val="Tahoma"/>
            <family val="2"/>
          </rPr>
          <t xml:space="preserve">
INVERSIONES</t>
        </r>
      </text>
    </comment>
  </commentList>
</comments>
</file>

<file path=xl/sharedStrings.xml><?xml version="1.0" encoding="utf-8"?>
<sst xmlns="http://schemas.openxmlformats.org/spreadsheetml/2006/main" count="760" uniqueCount="212">
  <si>
    <t>KKR Master Fund 92</t>
  </si>
  <si>
    <t>KKR Master Fund BA</t>
  </si>
  <si>
    <t>MSIP</t>
  </si>
  <si>
    <t>Southern Cross 92</t>
  </si>
  <si>
    <t>Southern Cross BA</t>
  </si>
  <si>
    <t>NB Crossroads</t>
  </si>
  <si>
    <t xml:space="preserve">Harbour Vest </t>
  </si>
  <si>
    <t>Dover IX 75</t>
  </si>
  <si>
    <t>Dover IX 92</t>
  </si>
  <si>
    <t>Dover IX 94</t>
  </si>
  <si>
    <t>Carlyle 75</t>
  </si>
  <si>
    <t>Carlyle 92</t>
  </si>
  <si>
    <t>Carlyle 94</t>
  </si>
  <si>
    <t xml:space="preserve">Oaktree 75 </t>
  </si>
  <si>
    <t xml:space="preserve">Oaktree 92 </t>
  </si>
  <si>
    <t>Oaktree 94</t>
  </si>
  <si>
    <t>FINESA Debt</t>
  </si>
  <si>
    <t>FINESA Equity</t>
  </si>
  <si>
    <t>Lexington CP</t>
  </si>
  <si>
    <t>Starwood 92</t>
  </si>
  <si>
    <t>Starwood 94</t>
  </si>
  <si>
    <t>Starwood 75</t>
  </si>
  <si>
    <t>TISHMAN 92</t>
  </si>
  <si>
    <t>TISHMAN 95</t>
  </si>
  <si>
    <t>TISHMAN DL</t>
  </si>
  <si>
    <t>TISHMAN DI</t>
  </si>
  <si>
    <t>GCO 95</t>
  </si>
  <si>
    <t>GCO DI</t>
  </si>
  <si>
    <t>GCO DL</t>
  </si>
  <si>
    <t>GCO DD</t>
  </si>
  <si>
    <t>GCO MW</t>
  </si>
  <si>
    <t>GCO VP</t>
  </si>
  <si>
    <t>GCO BA</t>
  </si>
  <si>
    <t>PRISA III 92</t>
  </si>
  <si>
    <t>PRISA III 94</t>
  </si>
  <si>
    <t>PRISA III 95</t>
  </si>
  <si>
    <t>PB V 94</t>
  </si>
  <si>
    <t>PB V 95</t>
  </si>
  <si>
    <t>FCPE</t>
  </si>
  <si>
    <t>PERIODO</t>
  </si>
  <si>
    <t>Q1</t>
  </si>
  <si>
    <t>Q2</t>
  </si>
  <si>
    <t>Q3</t>
  </si>
  <si>
    <t>Q4</t>
  </si>
  <si>
    <t>PB IV 92</t>
  </si>
  <si>
    <t>HL V 94</t>
  </si>
  <si>
    <t>HL V BA</t>
  </si>
  <si>
    <t>HL V DI</t>
  </si>
  <si>
    <t>HL V DL</t>
  </si>
  <si>
    <t>HL V MW</t>
  </si>
  <si>
    <t>HL V VP</t>
  </si>
  <si>
    <t>HL VI DI</t>
  </si>
  <si>
    <t>HL VI MW</t>
  </si>
  <si>
    <t>HL VI VP</t>
  </si>
  <si>
    <t xml:space="preserve">CONTROL DE FECHAS DE ENVIO Y REGISTRO EN PORFN AJUSTES FCPE </t>
  </si>
  <si>
    <t>FONDO YA TIENE VALOR DE SALIDA NO SE REALIZA AJUSTE</t>
  </si>
  <si>
    <t>VALOR AJUSTE</t>
  </si>
  <si>
    <t>F. ENVIO</t>
  </si>
  <si>
    <t>F. REGISTRO</t>
  </si>
  <si>
    <t xml:space="preserve">Prisa LP 75 </t>
  </si>
  <si>
    <t xml:space="preserve">Prisa LP 92 </t>
  </si>
  <si>
    <t>Prisa LP 94</t>
  </si>
  <si>
    <t>HL VI DD</t>
  </si>
  <si>
    <t>PB V BA</t>
  </si>
  <si>
    <t>PB V 29</t>
  </si>
  <si>
    <t>PB V 31</t>
  </si>
  <si>
    <t>N/A</t>
  </si>
  <si>
    <t>KKR CPS I 92</t>
  </si>
  <si>
    <t>KKR CPS I 94</t>
  </si>
  <si>
    <t>KKR CPS Ad II 75</t>
  </si>
  <si>
    <t>KKR CPS Ad II 92</t>
  </si>
  <si>
    <t>KKR CPS Ad II 94</t>
  </si>
  <si>
    <t>KKR CPS Ad1 III 75</t>
  </si>
  <si>
    <t>KKR CPS Ad1 III 92</t>
  </si>
  <si>
    <t>KKR CPS Ad1 III 94</t>
  </si>
  <si>
    <t>KKR CPS Ad1 III 95</t>
  </si>
  <si>
    <t>KKR CPS Ad1 IV 75</t>
  </si>
  <si>
    <t>KKR CPS Ad1 IV 31</t>
  </si>
  <si>
    <t>KKR CPS Ad1 IV 92</t>
  </si>
  <si>
    <t>KKR CPS Ad1 IV 94</t>
  </si>
  <si>
    <t>KKR CPS Ad1 IV 95</t>
  </si>
  <si>
    <t>KKR CPS Ad1 IV BA</t>
  </si>
  <si>
    <t>KKR CPS Ad1 IV BQ</t>
  </si>
  <si>
    <t>SVPM (31)</t>
  </si>
  <si>
    <t>SVPM (75)</t>
  </si>
  <si>
    <t>SVPM (92)</t>
  </si>
  <si>
    <t>SVPM (94)</t>
  </si>
  <si>
    <t>SVPM (95)</t>
  </si>
  <si>
    <t>SVPM (BA)</t>
  </si>
  <si>
    <t>SVPM (BC)</t>
  </si>
  <si>
    <t>SVPM (BP)</t>
  </si>
  <si>
    <t>SVPM (BQ)</t>
  </si>
  <si>
    <t>SVIV (DL)</t>
  </si>
  <si>
    <t>SVIV  (DI)</t>
  </si>
  <si>
    <t>SVIV  (DD)</t>
  </si>
  <si>
    <t>SVIV  (MW)</t>
  </si>
  <si>
    <t>NA</t>
  </si>
  <si>
    <t>KKR CPS Ad V 94</t>
  </si>
  <si>
    <t>VR FONDO</t>
  </si>
  <si>
    <t>3Q2023</t>
  </si>
  <si>
    <t>Oaktree 92</t>
  </si>
  <si>
    <t>Oaktree 75</t>
  </si>
  <si>
    <t>Prisa LP 75</t>
  </si>
  <si>
    <t>Prisa LP 92</t>
  </si>
  <si>
    <t>SVPM 31</t>
  </si>
  <si>
    <t>SVPM 75</t>
  </si>
  <si>
    <t>SVPM 92</t>
  </si>
  <si>
    <t>SVPM 94</t>
  </si>
  <si>
    <t>SVPM 95</t>
  </si>
  <si>
    <t>SVPM BA</t>
  </si>
  <si>
    <t>SVPM BC</t>
  </si>
  <si>
    <t>SVPM BP</t>
  </si>
  <si>
    <t>SVPM BQ</t>
  </si>
  <si>
    <t>SVIV DL</t>
  </si>
  <si>
    <t>SVIV  DI</t>
  </si>
  <si>
    <t>SVIV  DD</t>
  </si>
  <si>
    <t>SVIV  MW</t>
  </si>
  <si>
    <t>SSOF V 31</t>
  </si>
  <si>
    <t>SSOF V 75</t>
  </si>
  <si>
    <t>SSOF V 92</t>
  </si>
  <si>
    <t>SSOF V 94</t>
  </si>
  <si>
    <t>SSOF V 95</t>
  </si>
  <si>
    <t>FINESA Debt 92</t>
  </si>
  <si>
    <t>FINESA Equity 92</t>
  </si>
  <si>
    <t>PORT</t>
  </si>
  <si>
    <t>Q4 DEFINITIVO</t>
  </si>
  <si>
    <t>VR AJ. ADICIONAL</t>
  </si>
  <si>
    <t>VR. AJ DEF</t>
  </si>
  <si>
    <t>PRECIO</t>
  </si>
  <si>
    <t>VR FONDO EXTRACTO</t>
  </si>
  <si>
    <t>NO APLICA</t>
  </si>
  <si>
    <t>KKR CPS Ad V 92</t>
  </si>
  <si>
    <t>JZAKT</t>
  </si>
  <si>
    <t>JGDKT</t>
  </si>
  <si>
    <t>JHCKT</t>
  </si>
  <si>
    <t>JHPKT</t>
  </si>
  <si>
    <t>JZAVN</t>
  </si>
  <si>
    <t>JZAXO</t>
  </si>
  <si>
    <t>JZEXO</t>
  </si>
  <si>
    <t>JZA1X</t>
  </si>
  <si>
    <t>JZANQ</t>
  </si>
  <si>
    <t>JZBJQ</t>
  </si>
  <si>
    <t>JHDJQ</t>
  </si>
  <si>
    <t>JHHJ2</t>
  </si>
  <si>
    <t>JZCJ3</t>
  </si>
  <si>
    <t>JHIJ4</t>
  </si>
  <si>
    <t>JZAKE</t>
  </si>
  <si>
    <t>JHM0Y</t>
  </si>
  <si>
    <t>JHKK0</t>
  </si>
  <si>
    <t>JZASS</t>
  </si>
  <si>
    <t xml:space="preserve">JZDP6 </t>
  </si>
  <si>
    <t>JZAPJ</t>
  </si>
  <si>
    <t>JZAOK</t>
  </si>
  <si>
    <t>JZAQK</t>
  </si>
  <si>
    <t>JZAVW</t>
  </si>
  <si>
    <t>JZFVW</t>
  </si>
  <si>
    <t xml:space="preserve">ESPECIE </t>
  </si>
  <si>
    <t>PORFIN</t>
  </si>
  <si>
    <t>JZAVX</t>
  </si>
  <si>
    <t>JZAY0</t>
  </si>
  <si>
    <t>SVS 92</t>
  </si>
  <si>
    <t>SVS 94</t>
  </si>
  <si>
    <t xml:space="preserve">J HS 6\ </t>
  </si>
  <si>
    <t>No aplica</t>
  </si>
  <si>
    <t>FCPE KKR MASTER FUND</t>
  </si>
  <si>
    <t>FCPE KKR CPS I</t>
  </si>
  <si>
    <t xml:space="preserve">FCPE KKR CPS II </t>
  </si>
  <si>
    <t>FCPE KKR CPS III</t>
  </si>
  <si>
    <t>FCPE KKR CPS V</t>
  </si>
  <si>
    <t>FCPE KKR CPS V _ FPOBL Moderado</t>
  </si>
  <si>
    <t>FCPE DOVER STREET IX</t>
  </si>
  <si>
    <t>FCPI CARLYLE REALTY VIII</t>
  </si>
  <si>
    <t>FCPE LEXINGTON CAPITAL</t>
  </si>
  <si>
    <t>FCPI STARWOOD GLOBAL XI</t>
  </si>
  <si>
    <t>FCPE PINEBRIDGE SECUNDARY IV</t>
  </si>
  <si>
    <t>FCPI TISHMAN REAL ESTATE VIII</t>
  </si>
  <si>
    <t>FCPE HAMILTON LANE STR OP VI</t>
  </si>
  <si>
    <t>FCPE SV PRIVATE MARKETS FUND</t>
  </si>
  <si>
    <t>FCPE SV INCOME VALUE FUND 2022</t>
  </si>
  <si>
    <t>FCPE STEPSTONE SEC OP FUND V</t>
  </si>
  <si>
    <t>FCPN MS INFRAESTRUCTURE</t>
  </si>
  <si>
    <t>FCPE NB CROSSROADS 2010</t>
  </si>
  <si>
    <t>FCPE HARBOURVEST PARTNERS</t>
  </si>
  <si>
    <t>FCPE OAKTREE EPF IV</t>
  </si>
  <si>
    <t>FCPI PRISA LP</t>
  </si>
  <si>
    <t>FCPE PINEBRIDGE SECUNDARY V</t>
  </si>
  <si>
    <t>FCPE GLOBAL CREDIT OP GCO</t>
  </si>
  <si>
    <t>FCPE HAMILTON LANE STR OP V</t>
  </si>
  <si>
    <t>FCPE KKR CPS II</t>
  </si>
  <si>
    <t>FCPE KKR CPS IV</t>
  </si>
  <si>
    <t>NOMBRE MITRA</t>
  </si>
  <si>
    <t>VR FONDO EXTRACTO_Q1</t>
  </si>
  <si>
    <t>VALOR AJUSTE_Q1</t>
  </si>
  <si>
    <t>PRECIO_Q1</t>
  </si>
  <si>
    <t>F. REGISTRO_Q1</t>
  </si>
  <si>
    <t>VR FONDO EXTRACTO_Q2</t>
  </si>
  <si>
    <t>VALOR AJUSTE_Q2</t>
  </si>
  <si>
    <t>PRECIO_Q2</t>
  </si>
  <si>
    <t>F. REGISTRO_Q2</t>
  </si>
  <si>
    <t>VR FONDO EXTRACTO_Q3</t>
  </si>
  <si>
    <t>VALOR AJUSTE_Q3</t>
  </si>
  <si>
    <t>PRECIO_Q3</t>
  </si>
  <si>
    <t>F. REGISTRO_Q3</t>
  </si>
  <si>
    <t>VR FONDO EXTRACTO_Q4</t>
  </si>
  <si>
    <t>VALOR AJUSTE_Q4</t>
  </si>
  <si>
    <t>PRECIO_Q4</t>
  </si>
  <si>
    <t>F. REGISTRO_Q4</t>
  </si>
  <si>
    <t>FCPE FONDO ENERGETICO ANDINO C CDVI009</t>
  </si>
  <si>
    <t>FCPE FONDO ENERGETICO ANDINO C CDVI010</t>
  </si>
  <si>
    <t>FCPE FONDO ENERGETICO ANDINO C CDVI011</t>
  </si>
  <si>
    <t>FCPE FONDO ENERGETICO ANDINO C CDVI012</t>
  </si>
  <si>
    <t>FCPN ASHMORE ANDINO III B FALI001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</si>
</sst>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0"/>
      <name val="Verdana"/>
      <family val="2"/>
    </font>
    <font>
      <b/>
      <sz val="14"/>
      <color rgb="FF00C83C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70C0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242424"/>
      <name val="Century Gothic"/>
      <family val="2"/>
    </font>
    <font>
      <b/>
      <u/>
      <sz val="9"/>
      <color rgb="FF0070C0"/>
      <name val="Verdana"/>
      <family val="2"/>
    </font>
    <font>
      <sz val="9"/>
      <name val="Verdana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C8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hair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2" xfId="0" applyNumberFormat="1" applyFont="1" applyBorder="1"/>
    <xf numFmtId="14" fontId="1" fillId="0" borderId="5" xfId="0" applyNumberFormat="1" applyFont="1" applyBorder="1"/>
    <xf numFmtId="14" fontId="1" fillId="0" borderId="7" xfId="0" applyNumberFormat="1" applyFont="1" applyBorder="1"/>
    <xf numFmtId="14" fontId="2" fillId="3" borderId="14" xfId="0" applyNumberFormat="1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3" xfId="0" applyFont="1" applyFill="1" applyBorder="1"/>
    <xf numFmtId="0" fontId="2" fillId="3" borderId="8" xfId="0" applyFon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left" vertical="top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14" fontId="2" fillId="3" borderId="13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/>
    <xf numFmtId="14" fontId="1" fillId="0" borderId="6" xfId="0" applyNumberFormat="1" applyFont="1" applyBorder="1"/>
    <xf numFmtId="14" fontId="1" fillId="0" borderId="1" xfId="0" applyNumberFormat="1" applyFont="1" applyBorder="1"/>
    <xf numFmtId="14" fontId="1" fillId="0" borderId="3" xfId="0" applyNumberFormat="1" applyFont="1" applyBorder="1"/>
    <xf numFmtId="4" fontId="2" fillId="3" borderId="11" xfId="0" applyNumberFormat="1" applyFont="1" applyFill="1" applyBorder="1" applyAlignment="1">
      <alignment horizontal="left" vertical="top"/>
    </xf>
    <xf numFmtId="4" fontId="1" fillId="0" borderId="15" xfId="0" applyNumberFormat="1" applyFont="1" applyBorder="1"/>
    <xf numFmtId="4" fontId="1" fillId="0" borderId="16" xfId="0" applyNumberFormat="1" applyFont="1" applyBorder="1"/>
    <xf numFmtId="4" fontId="1" fillId="0" borderId="17" xfId="0" applyNumberFormat="1" applyFont="1" applyBorder="1"/>
    <xf numFmtId="4" fontId="1" fillId="0" borderId="0" xfId="0" applyNumberFormat="1" applyFont="1"/>
    <xf numFmtId="4" fontId="1" fillId="0" borderId="23" xfId="0" applyNumberFormat="1" applyFont="1" applyBorder="1"/>
    <xf numFmtId="14" fontId="6" fillId="0" borderId="23" xfId="0" applyNumberFormat="1" applyFont="1" applyBorder="1"/>
    <xf numFmtId="14" fontId="1" fillId="0" borderId="15" xfId="0" applyNumberFormat="1" applyFont="1" applyBorder="1"/>
    <xf numFmtId="14" fontId="1" fillId="0" borderId="16" xfId="0" applyNumberFormat="1" applyFont="1" applyBorder="1"/>
    <xf numFmtId="14" fontId="1" fillId="0" borderId="17" xfId="0" applyNumberFormat="1" applyFont="1" applyBorder="1"/>
    <xf numFmtId="14" fontId="1" fillId="0" borderId="24" xfId="0" applyNumberFormat="1" applyFont="1" applyBorder="1"/>
    <xf numFmtId="14" fontId="1" fillId="0" borderId="25" xfId="0" applyNumberFormat="1" applyFont="1" applyBorder="1"/>
    <xf numFmtId="14" fontId="1" fillId="0" borderId="26" xfId="0" applyNumberFormat="1" applyFont="1" applyBorder="1"/>
    <xf numFmtId="14" fontId="6" fillId="0" borderId="28" xfId="0" applyNumberFormat="1" applyFont="1" applyBorder="1"/>
    <xf numFmtId="4" fontId="1" fillId="0" borderId="29" xfId="0" applyNumberFormat="1" applyFont="1" applyBorder="1"/>
    <xf numFmtId="0" fontId="1" fillId="4" borderId="15" xfId="0" applyFont="1" applyFill="1" applyBorder="1"/>
    <xf numFmtId="4" fontId="1" fillId="4" borderId="15" xfId="0" applyNumberFormat="1" applyFont="1" applyFill="1" applyBorder="1"/>
    <xf numFmtId="14" fontId="1" fillId="4" borderId="15" xfId="0" applyNumberFormat="1" applyFont="1" applyFill="1" applyBorder="1"/>
    <xf numFmtId="14" fontId="6" fillId="4" borderId="27" xfId="0" applyNumberFormat="1" applyFont="1" applyFill="1" applyBorder="1"/>
    <xf numFmtId="0" fontId="1" fillId="4" borderId="16" xfId="0" applyFont="1" applyFill="1" applyBorder="1"/>
    <xf numFmtId="4" fontId="1" fillId="4" borderId="16" xfId="0" applyNumberFormat="1" applyFont="1" applyFill="1" applyBorder="1"/>
    <xf numFmtId="14" fontId="1" fillId="4" borderId="16" xfId="0" applyNumberFormat="1" applyFont="1" applyFill="1" applyBorder="1"/>
    <xf numFmtId="14" fontId="6" fillId="4" borderId="23" xfId="0" applyNumberFormat="1" applyFont="1" applyFill="1" applyBorder="1"/>
    <xf numFmtId="14" fontId="1" fillId="0" borderId="30" xfId="0" applyNumberFormat="1" applyFont="1" applyBorder="1"/>
    <xf numFmtId="14" fontId="1" fillId="0" borderId="28" xfId="0" applyNumberFormat="1" applyFont="1" applyBorder="1"/>
    <xf numFmtId="4" fontId="1" fillId="0" borderId="10" xfId="0" applyNumberFormat="1" applyFont="1" applyBorder="1"/>
    <xf numFmtId="14" fontId="1" fillId="0" borderId="10" xfId="0" applyNumberFormat="1" applyFont="1" applyBorder="1"/>
    <xf numFmtId="14" fontId="1" fillId="0" borderId="31" xfId="0" applyNumberFormat="1" applyFont="1" applyBorder="1"/>
    <xf numFmtId="14" fontId="1" fillId="0" borderId="32" xfId="0" applyNumberFormat="1" applyFont="1" applyBorder="1"/>
    <xf numFmtId="0" fontId="1" fillId="0" borderId="34" xfId="0" applyFont="1" applyBorder="1"/>
    <xf numFmtId="4" fontId="1" fillId="0" borderId="34" xfId="0" applyNumberFormat="1" applyFont="1" applyBorder="1"/>
    <xf numFmtId="14" fontId="1" fillId="0" borderId="34" xfId="0" applyNumberFormat="1" applyFont="1" applyBorder="1"/>
    <xf numFmtId="14" fontId="6" fillId="0" borderId="33" xfId="0" applyNumberFormat="1" applyFont="1" applyBorder="1"/>
    <xf numFmtId="14" fontId="1" fillId="0" borderId="35" xfId="0" applyNumberFormat="1" applyFont="1" applyBorder="1"/>
    <xf numFmtId="14" fontId="6" fillId="0" borderId="38" xfId="0" applyNumberFormat="1" applyFont="1" applyBorder="1"/>
    <xf numFmtId="0" fontId="1" fillId="0" borderId="39" xfId="0" applyFont="1" applyBorder="1"/>
    <xf numFmtId="4" fontId="1" fillId="0" borderId="39" xfId="0" applyNumberFormat="1" applyFont="1" applyBorder="1"/>
    <xf numFmtId="14" fontId="1" fillId="0" borderId="39" xfId="0" applyNumberFormat="1" applyFont="1" applyBorder="1"/>
    <xf numFmtId="14" fontId="6" fillId="0" borderId="37" xfId="0" applyNumberFormat="1" applyFont="1" applyBorder="1"/>
    <xf numFmtId="14" fontId="1" fillId="0" borderId="40" xfId="0" applyNumberFormat="1" applyFont="1" applyBorder="1"/>
    <xf numFmtId="14" fontId="1" fillId="0" borderId="41" xfId="0" applyNumberFormat="1" applyFont="1" applyBorder="1"/>
    <xf numFmtId="4" fontId="1" fillId="0" borderId="10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14" fontId="6" fillId="0" borderId="42" xfId="0" applyNumberFormat="1" applyFont="1" applyBorder="1"/>
    <xf numFmtId="14" fontId="1" fillId="0" borderId="10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42" xfId="0" applyNumberFormat="1" applyFont="1" applyBorder="1" applyAlignment="1">
      <alignment horizontal="center"/>
    </xf>
    <xf numFmtId="14" fontId="1" fillId="0" borderId="23" xfId="0" applyNumberFormat="1" applyFont="1" applyBorder="1" applyAlignment="1">
      <alignment horizontal="center"/>
    </xf>
    <xf numFmtId="0" fontId="1" fillId="0" borderId="25" xfId="0" applyFont="1" applyBorder="1"/>
    <xf numFmtId="0" fontId="1" fillId="0" borderId="23" xfId="0" applyFont="1" applyBorder="1"/>
    <xf numFmtId="14" fontId="6" fillId="0" borderId="27" xfId="0" applyNumberFormat="1" applyFont="1" applyBorder="1"/>
    <xf numFmtId="4" fontId="1" fillId="0" borderId="24" xfId="0" applyNumberFormat="1" applyFont="1" applyBorder="1"/>
    <xf numFmtId="14" fontId="1" fillId="0" borderId="44" xfId="0" applyNumberFormat="1" applyFont="1" applyBorder="1"/>
    <xf numFmtId="4" fontId="1" fillId="0" borderId="25" xfId="0" applyNumberFormat="1" applyFont="1" applyBorder="1"/>
    <xf numFmtId="14" fontId="1" fillId="0" borderId="45" xfId="0" applyNumberFormat="1" applyFont="1" applyBorder="1"/>
    <xf numFmtId="14" fontId="6" fillId="4" borderId="46" xfId="0" applyNumberFormat="1" applyFont="1" applyFill="1" applyBorder="1"/>
    <xf numFmtId="14" fontId="6" fillId="4" borderId="7" xfId="0" applyNumberFormat="1" applyFont="1" applyFill="1" applyBorder="1"/>
    <xf numFmtId="14" fontId="6" fillId="0" borderId="5" xfId="0" applyNumberFormat="1" applyFont="1" applyBorder="1"/>
    <xf numFmtId="14" fontId="6" fillId="0" borderId="7" xfId="0" applyNumberFormat="1" applyFont="1" applyBorder="1"/>
    <xf numFmtId="4" fontId="1" fillId="0" borderId="47" xfId="0" applyNumberFormat="1" applyFont="1" applyBorder="1"/>
    <xf numFmtId="4" fontId="1" fillId="0" borderId="7" xfId="0" applyNumberFormat="1" applyFont="1" applyBorder="1"/>
    <xf numFmtId="14" fontId="6" fillId="0" borderId="36" xfId="0" applyNumberFormat="1" applyFont="1" applyBorder="1"/>
    <xf numFmtId="14" fontId="6" fillId="0" borderId="43" xfId="0" applyNumberFormat="1" applyFont="1" applyBorder="1"/>
    <xf numFmtId="14" fontId="1" fillId="0" borderId="43" xfId="0" applyNumberFormat="1" applyFont="1" applyBorder="1"/>
    <xf numFmtId="14" fontId="1" fillId="0" borderId="23" xfId="0" applyNumberFormat="1" applyFont="1" applyBorder="1"/>
    <xf numFmtId="4" fontId="1" fillId="0" borderId="30" xfId="0" applyNumberFormat="1" applyFont="1" applyBorder="1"/>
    <xf numFmtId="4" fontId="1" fillId="0" borderId="43" xfId="0" applyNumberFormat="1" applyFont="1" applyBorder="1"/>
    <xf numFmtId="14" fontId="6" fillId="0" borderId="2" xfId="0" applyNumberFormat="1" applyFont="1" applyBorder="1"/>
    <xf numFmtId="14" fontId="6" fillId="0" borderId="15" xfId="0" applyNumberFormat="1" applyFont="1" applyBorder="1"/>
    <xf numFmtId="14" fontId="6" fillId="0" borderId="17" xfId="0" applyNumberFormat="1" applyFont="1" applyBorder="1"/>
    <xf numFmtId="14" fontId="6" fillId="0" borderId="16" xfId="0" applyNumberFormat="1" applyFont="1" applyBorder="1"/>
    <xf numFmtId="2" fontId="1" fillId="0" borderId="15" xfId="0" applyNumberFormat="1" applyFont="1" applyBorder="1"/>
    <xf numFmtId="4" fontId="1" fillId="0" borderId="15" xfId="1" applyNumberFormat="1" applyFont="1" applyBorder="1"/>
    <xf numFmtId="4" fontId="1" fillId="0" borderId="17" xfId="1" applyNumberFormat="1" applyFont="1" applyBorder="1"/>
    <xf numFmtId="4" fontId="1" fillId="0" borderId="16" xfId="1" applyNumberFormat="1" applyFont="1" applyBorder="1"/>
    <xf numFmtId="0" fontId="8" fillId="0" borderId="0" xfId="0" applyFont="1"/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2" xfId="0" applyFont="1" applyFill="1" applyBorder="1" applyAlignment="1">
      <alignment horizontal="center"/>
    </xf>
    <xf numFmtId="14" fontId="2" fillId="3" borderId="12" xfId="0" applyNumberFormat="1" applyFont="1" applyFill="1" applyBorder="1" applyAlignment="1">
      <alignment horizontal="center" vertical="center"/>
    </xf>
    <xf numFmtId="4" fontId="1" fillId="0" borderId="52" xfId="0" applyNumberFormat="1" applyFont="1" applyBorder="1"/>
    <xf numFmtId="2" fontId="1" fillId="0" borderId="0" xfId="0" applyNumberFormat="1" applyFont="1"/>
    <xf numFmtId="14" fontId="6" fillId="0" borderId="47" xfId="0" applyNumberFormat="1" applyFont="1" applyBorder="1"/>
    <xf numFmtId="9" fontId="1" fillId="0" borderId="0" xfId="0" applyNumberFormat="1" applyFont="1"/>
    <xf numFmtId="10" fontId="1" fillId="0" borderId="0" xfId="0" applyNumberFormat="1" applyFont="1"/>
    <xf numFmtId="4" fontId="2" fillId="3" borderId="12" xfId="0" applyNumberFormat="1" applyFont="1" applyFill="1" applyBorder="1" applyAlignment="1">
      <alignment horizontal="center" vertical="center"/>
    </xf>
    <xf numFmtId="4" fontId="6" fillId="4" borderId="19" xfId="0" applyNumberFormat="1" applyFont="1" applyFill="1" applyBorder="1"/>
    <xf numFmtId="4" fontId="6" fillId="4" borderId="52" xfId="0" applyNumberFormat="1" applyFont="1" applyFill="1" applyBorder="1"/>
    <xf numFmtId="4" fontId="6" fillId="0" borderId="19" xfId="0" applyNumberFormat="1" applyFont="1" applyBorder="1"/>
    <xf numFmtId="4" fontId="6" fillId="0" borderId="52" xfId="0" applyNumberFormat="1" applyFont="1" applyBorder="1"/>
    <xf numFmtId="4" fontId="6" fillId="0" borderId="53" xfId="0" applyNumberFormat="1" applyFont="1" applyBorder="1"/>
    <xf numFmtId="4" fontId="6" fillId="0" borderId="0" xfId="0" applyNumberFormat="1" applyFont="1"/>
    <xf numFmtId="4" fontId="6" fillId="0" borderId="23" xfId="0" applyNumberFormat="1" applyFont="1" applyBorder="1"/>
    <xf numFmtId="4" fontId="6" fillId="0" borderId="55" xfId="0" applyNumberFormat="1" applyFont="1" applyBorder="1"/>
    <xf numFmtId="4" fontId="6" fillId="0" borderId="19" xfId="2" applyNumberFormat="1" applyFont="1" applyBorder="1"/>
    <xf numFmtId="4" fontId="6" fillId="0" borderId="54" xfId="0" applyNumberFormat="1" applyFont="1" applyBorder="1"/>
    <xf numFmtId="4" fontId="1" fillId="0" borderId="19" xfId="0" applyNumberFormat="1" applyFont="1" applyBorder="1"/>
    <xf numFmtId="3" fontId="1" fillId="0" borderId="0" xfId="0" applyNumberFormat="1" applyFont="1"/>
    <xf numFmtId="9" fontId="6" fillId="0" borderId="19" xfId="0" applyNumberFormat="1" applyFont="1" applyBorder="1"/>
    <xf numFmtId="14" fontId="3" fillId="4" borderId="0" xfId="0" applyNumberFormat="1" applyFont="1" applyFill="1" applyAlignment="1">
      <alignment horizontal="center" vertical="center"/>
    </xf>
    <xf numFmtId="14" fontId="2" fillId="3" borderId="56" xfId="0" applyNumberFormat="1" applyFont="1" applyFill="1" applyBorder="1" applyAlignment="1">
      <alignment horizontal="center" vertical="center"/>
    </xf>
    <xf numFmtId="14" fontId="6" fillId="0" borderId="18" xfId="0" applyNumberFormat="1" applyFont="1" applyBorder="1"/>
    <xf numFmtId="14" fontId="6" fillId="0" borderId="57" xfId="0" applyNumberFormat="1" applyFont="1" applyBorder="1"/>
    <xf numFmtId="14" fontId="6" fillId="0" borderId="58" xfId="0" applyNumberFormat="1" applyFont="1" applyBorder="1"/>
    <xf numFmtId="14" fontId="1" fillId="0" borderId="59" xfId="0" applyNumberFormat="1" applyFont="1" applyBorder="1"/>
    <xf numFmtId="14" fontId="1" fillId="0" borderId="57" xfId="0" applyNumberFormat="1" applyFont="1" applyBorder="1"/>
    <xf numFmtId="14" fontId="1" fillId="0" borderId="18" xfId="0" applyNumberFormat="1" applyFont="1" applyBorder="1"/>
    <xf numFmtId="14" fontId="1" fillId="0" borderId="48" xfId="0" applyNumberFormat="1" applyFont="1" applyBorder="1"/>
    <xf numFmtId="0" fontId="2" fillId="3" borderId="60" xfId="0" applyFont="1" applyFill="1" applyBorder="1" applyAlignment="1">
      <alignment horizontal="center" vertical="center"/>
    </xf>
    <xf numFmtId="4" fontId="2" fillId="3" borderId="61" xfId="0" applyNumberFormat="1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left" vertical="top"/>
    </xf>
    <xf numFmtId="14" fontId="2" fillId="3" borderId="61" xfId="0" applyNumberFormat="1" applyFont="1" applyFill="1" applyBorder="1" applyAlignment="1">
      <alignment horizontal="center" vertical="center"/>
    </xf>
    <xf numFmtId="4" fontId="6" fillId="4" borderId="28" xfId="0" applyNumberFormat="1" applyFont="1" applyFill="1" applyBorder="1"/>
    <xf numFmtId="4" fontId="1" fillId="0" borderId="28" xfId="0" applyNumberFormat="1" applyFont="1" applyBorder="1"/>
    <xf numFmtId="4" fontId="6" fillId="4" borderId="23" xfId="0" applyNumberFormat="1" applyFont="1" applyFill="1" applyBorder="1"/>
    <xf numFmtId="4" fontId="6" fillId="0" borderId="28" xfId="0" applyNumberFormat="1" applyFont="1" applyBorder="1"/>
    <xf numFmtId="4" fontId="6" fillId="0" borderId="38" xfId="0" applyNumberFormat="1" applyFont="1" applyBorder="1"/>
    <xf numFmtId="4" fontId="1" fillId="0" borderId="38" xfId="0" applyNumberFormat="1" applyFont="1" applyBorder="1"/>
    <xf numFmtId="14" fontId="1" fillId="0" borderId="38" xfId="0" applyNumberFormat="1" applyFont="1" applyBorder="1"/>
    <xf numFmtId="4" fontId="6" fillId="0" borderId="42" xfId="0" applyNumberFormat="1" applyFont="1" applyBorder="1"/>
    <xf numFmtId="14" fontId="1" fillId="0" borderId="42" xfId="0" applyNumberFormat="1" applyFont="1" applyBorder="1"/>
    <xf numFmtId="4" fontId="6" fillId="0" borderId="33" xfId="0" applyNumberFormat="1" applyFont="1" applyBorder="1"/>
    <xf numFmtId="4" fontId="1" fillId="0" borderId="33" xfId="0" applyNumberFormat="1" applyFont="1" applyBorder="1"/>
    <xf numFmtId="14" fontId="1" fillId="0" borderId="33" xfId="0" applyNumberFormat="1" applyFont="1" applyBorder="1"/>
    <xf numFmtId="4" fontId="1" fillId="0" borderId="37" xfId="0" applyNumberFormat="1" applyFont="1" applyBorder="1"/>
    <xf numFmtId="14" fontId="1" fillId="0" borderId="37" xfId="0" applyNumberFormat="1" applyFont="1" applyBorder="1"/>
    <xf numFmtId="4" fontId="1" fillId="0" borderId="42" xfId="0" applyNumberFormat="1" applyFont="1" applyBorder="1"/>
    <xf numFmtId="4" fontId="6" fillId="0" borderId="28" xfId="2" applyNumberFormat="1" applyFont="1" applyBorder="1"/>
    <xf numFmtId="4" fontId="6" fillId="0" borderId="61" xfId="0" applyNumberFormat="1" applyFont="1" applyBorder="1"/>
    <xf numFmtId="14" fontId="1" fillId="0" borderId="29" xfId="0" applyNumberFormat="1" applyFont="1" applyBorder="1"/>
    <xf numFmtId="4" fontId="1" fillId="0" borderId="61" xfId="0" applyNumberFormat="1" applyFont="1" applyBorder="1"/>
    <xf numFmtId="0" fontId="1" fillId="5" borderId="15" xfId="0" applyFont="1" applyFill="1" applyBorder="1"/>
    <xf numFmtId="0" fontId="1" fillId="5" borderId="17" xfId="0" applyFont="1" applyFill="1" applyBorder="1"/>
    <xf numFmtId="0" fontId="1" fillId="5" borderId="16" xfId="0" applyFont="1" applyFill="1" applyBorder="1"/>
    <xf numFmtId="164" fontId="2" fillId="3" borderId="11" xfId="0" applyNumberFormat="1" applyFont="1" applyFill="1" applyBorder="1" applyAlignment="1">
      <alignment horizontal="center" vertical="top"/>
    </xf>
    <xf numFmtId="164" fontId="1" fillId="0" borderId="15" xfId="0" applyNumberFormat="1" applyFont="1" applyBorder="1"/>
    <xf numFmtId="164" fontId="1" fillId="0" borderId="16" xfId="0" applyNumberFormat="1" applyFont="1" applyBorder="1"/>
    <xf numFmtId="164" fontId="1" fillId="0" borderId="24" xfId="0" applyNumberFormat="1" applyFont="1" applyBorder="1"/>
    <xf numFmtId="164" fontId="1" fillId="0" borderId="17" xfId="0" applyNumberFormat="1" applyFont="1" applyBorder="1"/>
    <xf numFmtId="164" fontId="1" fillId="0" borderId="25" xfId="0" applyNumberFormat="1" applyFont="1" applyBorder="1"/>
    <xf numFmtId="164" fontId="1" fillId="0" borderId="23" xfId="0" applyNumberFormat="1" applyFont="1" applyBorder="1"/>
    <xf numFmtId="164" fontId="1" fillId="0" borderId="34" xfId="0" applyNumberFormat="1" applyFont="1" applyBorder="1"/>
    <xf numFmtId="164" fontId="1" fillId="0" borderId="39" xfId="0" applyNumberFormat="1" applyFont="1" applyBorder="1"/>
    <xf numFmtId="164" fontId="1" fillId="0" borderId="10" xfId="0" applyNumberFormat="1" applyFont="1" applyBorder="1"/>
    <xf numFmtId="164" fontId="1" fillId="0" borderId="0" xfId="0" applyNumberFormat="1" applyFont="1"/>
    <xf numFmtId="4" fontId="6" fillId="0" borderId="62" xfId="0" applyNumberFormat="1" applyFont="1" applyBorder="1"/>
    <xf numFmtId="14" fontId="9" fillId="0" borderId="5" xfId="0" applyNumberFormat="1" applyFont="1" applyBorder="1"/>
    <xf numFmtId="14" fontId="6" fillId="0" borderId="63" xfId="0" applyNumberFormat="1" applyFont="1" applyBorder="1"/>
    <xf numFmtId="4" fontId="10" fillId="0" borderId="15" xfId="0" applyNumberFormat="1" applyFont="1" applyBorder="1"/>
    <xf numFmtId="164" fontId="10" fillId="0" borderId="15" xfId="0" applyNumberFormat="1" applyFont="1" applyBorder="1"/>
    <xf numFmtId="4" fontId="10" fillId="0" borderId="17" xfId="0" applyNumberFormat="1" applyFont="1" applyBorder="1"/>
    <xf numFmtId="164" fontId="10" fillId="0" borderId="17" xfId="0" applyNumberFormat="1" applyFont="1" applyBorder="1"/>
    <xf numFmtId="4" fontId="10" fillId="0" borderId="23" xfId="0" applyNumberFormat="1" applyFont="1" applyBorder="1"/>
    <xf numFmtId="164" fontId="10" fillId="0" borderId="16" xfId="0" applyNumberFormat="1" applyFont="1" applyBorder="1"/>
    <xf numFmtId="14" fontId="6" fillId="0" borderId="32" xfId="0" applyNumberFormat="1" applyFont="1" applyBorder="1"/>
    <xf numFmtId="164" fontId="1" fillId="5" borderId="16" xfId="0" applyNumberFormat="1" applyFont="1" applyFill="1" applyBorder="1"/>
    <xf numFmtId="0" fontId="1" fillId="4" borderId="19" xfId="0" applyFont="1" applyFill="1" applyBorder="1"/>
    <xf numFmtId="0" fontId="1" fillId="4" borderId="52" xfId="0" applyFont="1" applyFill="1" applyBorder="1"/>
    <xf numFmtId="0" fontId="1" fillId="0" borderId="19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5" xfId="0" applyFont="1" applyBorder="1"/>
    <xf numFmtId="4" fontId="1" fillId="5" borderId="25" xfId="0" applyNumberFormat="1" applyFont="1" applyFill="1" applyBorder="1"/>
    <xf numFmtId="164" fontId="1" fillId="5" borderId="10" xfId="0" applyNumberFormat="1" applyFont="1" applyFill="1" applyBorder="1"/>
    <xf numFmtId="14" fontId="6" fillId="5" borderId="5" xfId="0" applyNumberFormat="1" applyFont="1" applyFill="1" applyBorder="1"/>
    <xf numFmtId="0" fontId="1" fillId="0" borderId="49" xfId="0" applyFont="1" applyBorder="1"/>
    <xf numFmtId="0" fontId="2" fillId="3" borderId="61" xfId="0" applyFont="1" applyFill="1" applyBorder="1" applyAlignment="1">
      <alignment horizontal="center" vertical="top"/>
    </xf>
    <xf numFmtId="0" fontId="1" fillId="5" borderId="53" xfId="0" applyFont="1" applyFill="1" applyBorder="1"/>
    <xf numFmtId="14" fontId="6" fillId="0" borderId="5" xfId="0" applyNumberFormat="1" applyFont="1" applyBorder="1" applyAlignment="1">
      <alignment horizontal="right"/>
    </xf>
    <xf numFmtId="4" fontId="1" fillId="0" borderId="62" xfId="0" applyNumberFormat="1" applyFont="1" applyBorder="1"/>
    <xf numFmtId="4" fontId="1" fillId="0" borderId="53" xfId="0" applyNumberFormat="1" applyFont="1" applyBorder="1"/>
    <xf numFmtId="4" fontId="1" fillId="0" borderId="49" xfId="0" applyNumberFormat="1" applyFont="1" applyBorder="1"/>
    <xf numFmtId="4" fontId="6" fillId="4" borderId="27" xfId="0" applyNumberFormat="1" applyFont="1" applyFill="1" applyBorder="1"/>
    <xf numFmtId="14" fontId="6" fillId="0" borderId="7" xfId="0" applyNumberFormat="1" applyFont="1" applyBorder="1" applyAlignment="1">
      <alignment horizontal="right"/>
    </xf>
    <xf numFmtId="9" fontId="6" fillId="0" borderId="23" xfId="0" applyNumberFormat="1" applyFont="1" applyBorder="1"/>
    <xf numFmtId="14" fontId="9" fillId="0" borderId="7" xfId="0" applyNumberFormat="1" applyFont="1" applyBorder="1"/>
    <xf numFmtId="164" fontId="1" fillId="0" borderId="6" xfId="0" applyNumberFormat="1" applyFont="1" applyBorder="1"/>
    <xf numFmtId="164" fontId="1" fillId="0" borderId="45" xfId="0" applyNumberFormat="1" applyFont="1" applyBorder="1"/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top"/>
    </xf>
    <xf numFmtId="4" fontId="2" fillId="3" borderId="11" xfId="0" applyNumberFormat="1" applyFont="1" applyFill="1" applyBorder="1" applyAlignment="1">
      <alignment horizontal="center" vertical="center"/>
    </xf>
    <xf numFmtId="4" fontId="6" fillId="4" borderId="15" xfId="0" applyNumberFormat="1" applyFont="1" applyFill="1" applyBorder="1"/>
    <xf numFmtId="4" fontId="6" fillId="4" borderId="16" xfId="0" applyNumberFormat="1" applyFont="1" applyFill="1" applyBorder="1"/>
    <xf numFmtId="4" fontId="6" fillId="0" borderId="15" xfId="0" applyNumberFormat="1" applyFont="1" applyBorder="1"/>
    <xf numFmtId="4" fontId="6" fillId="0" borderId="16" xfId="0" applyNumberFormat="1" applyFont="1" applyBorder="1"/>
    <xf numFmtId="4" fontId="6" fillId="0" borderId="25" xfId="0" applyNumberFormat="1" applyFont="1" applyBorder="1"/>
    <xf numFmtId="4" fontId="6" fillId="5" borderId="25" xfId="0" applyNumberFormat="1" applyFont="1" applyFill="1" applyBorder="1"/>
    <xf numFmtId="4" fontId="6" fillId="0" borderId="34" xfId="0" applyNumberFormat="1" applyFont="1" applyBorder="1"/>
    <xf numFmtId="4" fontId="6" fillId="0" borderId="10" xfId="0" applyNumberFormat="1" applyFont="1" applyBorder="1"/>
    <xf numFmtId="4" fontId="6" fillId="0" borderId="15" xfId="2" applyNumberFormat="1" applyFont="1" applyBorder="1"/>
    <xf numFmtId="4" fontId="6" fillId="0" borderId="17" xfId="0" applyNumberFormat="1" applyFont="1" applyBorder="1"/>
    <xf numFmtId="4" fontId="6" fillId="0" borderId="29" xfId="0" applyNumberFormat="1" applyFont="1" applyBorder="1"/>
    <xf numFmtId="164" fontId="1" fillId="0" borderId="26" xfId="0" applyNumberFormat="1" applyFont="1" applyBorder="1"/>
    <xf numFmtId="14" fontId="6" fillId="0" borderId="64" xfId="0" applyNumberFormat="1" applyFont="1" applyBorder="1"/>
    <xf numFmtId="4" fontId="1" fillId="2" borderId="18" xfId="0" applyNumberFormat="1" applyFont="1" applyFill="1" applyBorder="1" applyAlignment="1">
      <alignment horizontal="left"/>
    </xf>
    <xf numFmtId="4" fontId="1" fillId="2" borderId="19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4" fontId="3" fillId="4" borderId="9" xfId="0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4" fontId="3" fillId="4" borderId="12" xfId="0" applyNumberFormat="1" applyFont="1" applyFill="1" applyBorder="1" applyAlignment="1">
      <alignment horizontal="center" vertical="center"/>
    </xf>
    <xf numFmtId="4" fontId="1" fillId="2" borderId="48" xfId="0" applyNumberFormat="1" applyFont="1" applyFill="1" applyBorder="1" applyAlignment="1">
      <alignment horizontal="left"/>
    </xf>
    <xf numFmtId="4" fontId="1" fillId="2" borderId="49" xfId="0" applyNumberFormat="1" applyFont="1" applyFill="1" applyBorder="1" applyAlignment="1">
      <alignment horizontal="left"/>
    </xf>
    <xf numFmtId="4" fontId="1" fillId="2" borderId="50" xfId="0" applyNumberFormat="1" applyFont="1" applyFill="1" applyBorder="1" applyAlignment="1">
      <alignment horizontal="left"/>
    </xf>
    <xf numFmtId="0" fontId="2" fillId="3" borderId="6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4" fontId="6" fillId="5" borderId="10" xfId="0" applyNumberFormat="1" applyFont="1" applyFill="1" applyBorder="1" applyAlignment="1">
      <alignment horizontal="center" vertical="center"/>
    </xf>
    <xf numFmtId="4" fontId="6" fillId="5" borderId="0" xfId="0" applyNumberFormat="1" applyFont="1" applyFill="1" applyAlignment="1">
      <alignment horizontal="center" vertical="center"/>
    </xf>
    <xf numFmtId="4" fontId="6" fillId="5" borderId="54" xfId="0" applyNumberFormat="1" applyFont="1" applyFill="1" applyBorder="1" applyAlignment="1">
      <alignment horizontal="center" vertical="center"/>
    </xf>
    <xf numFmtId="4" fontId="1" fillId="5" borderId="10" xfId="0" applyNumberFormat="1" applyFont="1" applyFill="1" applyBorder="1" applyAlignment="1">
      <alignment horizontal="center" vertical="center"/>
    </xf>
    <xf numFmtId="4" fontId="1" fillId="5" borderId="0" xfId="0" applyNumberFormat="1" applyFont="1" applyFill="1" applyAlignment="1">
      <alignment horizontal="center" vertical="center"/>
    </xf>
    <xf numFmtId="4" fontId="1" fillId="5" borderId="54" xfId="0" applyNumberFormat="1" applyFont="1" applyFill="1" applyBorder="1" applyAlignment="1">
      <alignment horizontal="center" vertical="center"/>
    </xf>
    <xf numFmtId="0" fontId="12" fillId="6" borderId="0" xfId="0" applyFont="1" applyFill="1"/>
    <xf numFmtId="0" fontId="11" fillId="6" borderId="0" xfId="0" applyFont="1" applyFill="1"/>
    <xf numFmtId="4" fontId="12" fillId="6" borderId="0" xfId="0" applyNumberFormat="1" applyFont="1" applyFill="1"/>
    <xf numFmtId="14" fontId="6" fillId="6" borderId="23" xfId="0" applyNumberFormat="1" applyFont="1" applyFill="1" applyBorder="1"/>
    <xf numFmtId="14" fontId="12" fillId="6" borderId="0" xfId="0" applyNumberFormat="1" applyFont="1" applyFill="1"/>
    <xf numFmtId="0" fontId="0" fillId="6" borderId="0" xfId="0" applyFill="1"/>
    <xf numFmtId="2" fontId="12" fillId="6" borderId="0" xfId="0" applyNumberFormat="1" applyFont="1" applyFill="1"/>
    <xf numFmtId="164" fontId="12" fillId="6" borderId="0" xfId="0" applyNumberFormat="1" applyFont="1" applyFill="1"/>
    <xf numFmtId="0" fontId="12" fillId="6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C83C"/>
      <color rgb="FFD9D9FF"/>
      <color rgb="FFFFFFCC"/>
      <color rgb="FFD5F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19050</xdr:rowOff>
    </xdr:from>
    <xdr:to>
      <xdr:col>0</xdr:col>
      <xdr:colOff>812165</xdr:colOff>
      <xdr:row>2</xdr:row>
      <xdr:rowOff>121104</xdr:rowOff>
    </xdr:to>
    <xdr:pic>
      <xdr:nvPicPr>
        <xdr:cNvPr id="2" name="Picture 1" descr="https://www.skandia.com.co/mercadeo/assets_marca/logos/isotipo_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19050</xdr:rowOff>
    </xdr:from>
    <xdr:to>
      <xdr:col>0</xdr:col>
      <xdr:colOff>834390</xdr:colOff>
      <xdr:row>2</xdr:row>
      <xdr:rowOff>149225</xdr:rowOff>
    </xdr:to>
    <xdr:pic>
      <xdr:nvPicPr>
        <xdr:cNvPr id="2" name="Picture 1" descr="https://www.skandia.com.co/mercadeo/assets_marca/logos/isotipo_3.png">
          <a:extLst>
            <a:ext uri="{FF2B5EF4-FFF2-40B4-BE49-F238E27FC236}">
              <a16:creationId xmlns:a16="http://schemas.microsoft.com/office/drawing/2014/main" id="{A6421AE0-FF2C-41C5-A841-5DDD3EBEE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19050</xdr:rowOff>
    </xdr:from>
    <xdr:to>
      <xdr:col>0</xdr:col>
      <xdr:colOff>828040</xdr:colOff>
      <xdr:row>2</xdr:row>
      <xdr:rowOff>149225</xdr:rowOff>
    </xdr:to>
    <xdr:pic>
      <xdr:nvPicPr>
        <xdr:cNvPr id="2" name="Picture 1" descr="https://www.skandia.com.co/mercadeo/assets_marca/logos/isotipo_3.png">
          <a:extLst>
            <a:ext uri="{FF2B5EF4-FFF2-40B4-BE49-F238E27FC236}">
              <a16:creationId xmlns:a16="http://schemas.microsoft.com/office/drawing/2014/main" id="{5FE2F32E-D089-4871-8F09-2F4463DC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"/>
          <a:ext cx="392430" cy="41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19050</xdr:rowOff>
    </xdr:from>
    <xdr:to>
      <xdr:col>0</xdr:col>
      <xdr:colOff>834390</xdr:colOff>
      <xdr:row>2</xdr:row>
      <xdr:rowOff>149225</xdr:rowOff>
    </xdr:to>
    <xdr:pic>
      <xdr:nvPicPr>
        <xdr:cNvPr id="2" name="Picture 1" descr="https://www.skandia.com.co/mercadeo/assets_marca/logos/isotipo_3.png">
          <a:extLst>
            <a:ext uri="{FF2B5EF4-FFF2-40B4-BE49-F238E27FC236}">
              <a16:creationId xmlns:a16="http://schemas.microsoft.com/office/drawing/2014/main" id="{E7C3A7C7-E701-479D-AB89-2B0C4CF73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"/>
          <a:ext cx="405765" cy="41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19050</xdr:rowOff>
    </xdr:from>
    <xdr:to>
      <xdr:col>0</xdr:col>
      <xdr:colOff>834390</xdr:colOff>
      <xdr:row>2</xdr:row>
      <xdr:rowOff>149225</xdr:rowOff>
    </xdr:to>
    <xdr:pic>
      <xdr:nvPicPr>
        <xdr:cNvPr id="2" name="Picture 1" descr="https://www.skandia.com.co/mercadeo/assets_marca/logos/isotipo_3.png">
          <a:extLst>
            <a:ext uri="{FF2B5EF4-FFF2-40B4-BE49-F238E27FC236}">
              <a16:creationId xmlns:a16="http://schemas.microsoft.com/office/drawing/2014/main" id="{43DB1E90-3DFF-4D1C-9469-1563495B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050"/>
          <a:ext cx="405765" cy="41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CEI\Inversiones%20AFP-Vida\17.%20Gerencia%20alternativos\1.%20Seguimiento\7.%20Seguimiento%20Registro%20Llamados%20y%20Distribuciones%20DHARMA%20&amp;%20PORFIN.xlsx" TargetMode="External"/><Relationship Id="rId1" Type="http://schemas.openxmlformats.org/officeDocument/2006/relationships/externalLinkPath" Target="file:///Y:\CEI\Inversiones%20AFP-Vida\17.%20Gerencia%20alternativos\1.%20Seguimiento\7.%20Seguimiento%20Registro%20Llamados%20y%20Distribuciones%20DHARMA%20&amp;%20PORF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. Llamados y Distribucion"/>
      <sheetName val="Hoja3"/>
      <sheetName val="Tabla Dinamica"/>
      <sheetName val="NIT Portafolios"/>
      <sheetName val="dicc_ports"/>
      <sheetName val="dicc_ports_nom"/>
      <sheetName val="KKR ID fFund"/>
      <sheetName val="AFP-VIDA"/>
      <sheetName val="Creación de Especie"/>
      <sheetName val="Comienzo rastreo Prisa"/>
      <sheetName val="Hoja1"/>
    </sheetNames>
    <sheetDataSet>
      <sheetData sheetId="0">
        <row r="1143">
          <cell r="J1143">
            <v>235751.84</v>
          </cell>
        </row>
        <row r="1396">
          <cell r="L1396">
            <v>2734</v>
          </cell>
        </row>
        <row r="1397">
          <cell r="L1397">
            <v>91</v>
          </cell>
        </row>
        <row r="1423">
          <cell r="L1423">
            <v>14339</v>
          </cell>
        </row>
        <row r="1424">
          <cell r="L1424">
            <v>477</v>
          </cell>
        </row>
        <row r="1438">
          <cell r="J1438">
            <v>207480.84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6"/>
  <sheetViews>
    <sheetView zoomScale="90" zoomScaleNormal="90" workbookViewId="0">
      <selection sqref="A1:A3"/>
    </sheetView>
  </sheetViews>
  <sheetFormatPr defaultColWidth="9.44140625" defaultRowHeight="11.4" x14ac:dyDescent="0.2"/>
  <cols>
    <col min="1" max="1" width="22.44140625" style="1" customWidth="1"/>
    <col min="2" max="2" width="15.5546875" style="23" customWidth="1"/>
    <col min="3" max="3" width="11.5546875" style="2" customWidth="1"/>
    <col min="4" max="4" width="13.44140625" style="2" bestFit="1" customWidth="1"/>
    <col min="5" max="5" width="15.5546875" style="1" customWidth="1"/>
    <col min="6" max="6" width="11.5546875" style="2" customWidth="1"/>
    <col min="7" max="7" width="0.44140625" style="2" customWidth="1"/>
    <col min="8" max="8" width="15.5546875" style="1" customWidth="1"/>
    <col min="9" max="9" width="11.5546875" style="2" customWidth="1"/>
    <col min="10" max="10" width="13.44140625" style="2" bestFit="1" customWidth="1"/>
    <col min="11" max="11" width="15.5546875" style="1" bestFit="1" customWidth="1"/>
    <col min="12" max="12" width="11.5546875" style="2" customWidth="1"/>
    <col min="13" max="13" width="13.5546875" style="2" bestFit="1" customWidth="1"/>
    <col min="14" max="14" width="18.44140625" style="1" bestFit="1" customWidth="1"/>
    <col min="15" max="16384" width="9.44140625" style="1"/>
  </cols>
  <sheetData>
    <row r="1" spans="1:13" ht="11.25" customHeight="1" x14ac:dyDescent="0.2">
      <c r="A1" s="215"/>
      <c r="B1" s="221" t="s">
        <v>54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1:13" ht="11.25" customHeight="1" x14ac:dyDescent="0.2">
      <c r="A2" s="216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</row>
    <row r="3" spans="1:13" ht="12" customHeight="1" thickBot="1" x14ac:dyDescent="0.25">
      <c r="A3" s="217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</row>
    <row r="4" spans="1:13" ht="15" customHeight="1" x14ac:dyDescent="0.2">
      <c r="A4" s="9" t="s">
        <v>39</v>
      </c>
      <c r="B4" s="218" t="s">
        <v>40</v>
      </c>
      <c r="C4" s="219"/>
      <c r="D4" s="220"/>
      <c r="E4" s="218" t="s">
        <v>41</v>
      </c>
      <c r="F4" s="219"/>
      <c r="G4" s="220"/>
      <c r="H4" s="218" t="s">
        <v>42</v>
      </c>
      <c r="I4" s="219"/>
      <c r="J4" s="220"/>
      <c r="K4" s="218" t="s">
        <v>43</v>
      </c>
      <c r="L4" s="219"/>
      <c r="M4" s="220"/>
    </row>
    <row r="5" spans="1:13" ht="12" thickBot="1" x14ac:dyDescent="0.25">
      <c r="A5" s="10" t="s">
        <v>38</v>
      </c>
      <c r="B5" s="19" t="s">
        <v>56</v>
      </c>
      <c r="C5" s="14" t="s">
        <v>57</v>
      </c>
      <c r="D5" s="6" t="s">
        <v>58</v>
      </c>
      <c r="E5" s="10" t="s">
        <v>56</v>
      </c>
      <c r="F5" s="14" t="s">
        <v>57</v>
      </c>
      <c r="G5" s="6" t="s">
        <v>58</v>
      </c>
      <c r="H5" s="10" t="s">
        <v>56</v>
      </c>
      <c r="I5" s="14" t="s">
        <v>57</v>
      </c>
      <c r="J5" s="6" t="s">
        <v>58</v>
      </c>
      <c r="K5" s="10" t="s">
        <v>56</v>
      </c>
      <c r="L5" s="14" t="s">
        <v>57</v>
      </c>
      <c r="M5" s="6" t="s">
        <v>58</v>
      </c>
    </row>
    <row r="6" spans="1:13" x14ac:dyDescent="0.2">
      <c r="A6" s="34" t="s">
        <v>0</v>
      </c>
      <c r="B6" s="35">
        <v>838018</v>
      </c>
      <c r="C6" s="36">
        <v>44321</v>
      </c>
      <c r="D6" s="37">
        <v>44321</v>
      </c>
      <c r="E6" s="35">
        <v>720994</v>
      </c>
      <c r="F6" s="15">
        <v>44420</v>
      </c>
      <c r="G6" s="32">
        <v>44425</v>
      </c>
      <c r="H6" s="20">
        <v>621080</v>
      </c>
      <c r="I6" s="15">
        <v>44503</v>
      </c>
      <c r="J6" s="32">
        <v>44504</v>
      </c>
      <c r="K6" s="20">
        <v>666586</v>
      </c>
      <c r="L6" s="26">
        <v>44601</v>
      </c>
      <c r="M6" s="69">
        <v>44602</v>
      </c>
    </row>
    <row r="7" spans="1:13" x14ac:dyDescent="0.2">
      <c r="A7" s="38" t="s">
        <v>1</v>
      </c>
      <c r="B7" s="39">
        <v>27930</v>
      </c>
      <c r="C7" s="40">
        <v>44321</v>
      </c>
      <c r="D7" s="41">
        <v>44321</v>
      </c>
      <c r="E7" s="39">
        <v>24033</v>
      </c>
      <c r="F7" s="15">
        <v>44420</v>
      </c>
      <c r="G7" s="32">
        <v>44425</v>
      </c>
      <c r="H7" s="21">
        <v>20703</v>
      </c>
      <c r="I7" s="16">
        <v>44503</v>
      </c>
      <c r="J7" s="32">
        <v>44504</v>
      </c>
      <c r="K7" s="21">
        <v>22222</v>
      </c>
      <c r="L7" s="27">
        <v>44601</v>
      </c>
      <c r="M7" s="32">
        <v>44602</v>
      </c>
    </row>
    <row r="8" spans="1:13" x14ac:dyDescent="0.2">
      <c r="A8" s="11" t="s">
        <v>67</v>
      </c>
      <c r="B8" s="20">
        <v>11796969</v>
      </c>
      <c r="C8" s="26">
        <v>44326</v>
      </c>
      <c r="D8" s="32">
        <v>44327</v>
      </c>
      <c r="E8" s="20">
        <v>6718673</v>
      </c>
      <c r="F8" s="15">
        <v>44412</v>
      </c>
      <c r="G8" s="32">
        <v>44413</v>
      </c>
      <c r="H8" s="20">
        <v>10060761</v>
      </c>
      <c r="I8" s="15">
        <v>44503</v>
      </c>
      <c r="J8" s="32">
        <v>44504</v>
      </c>
      <c r="K8" s="20">
        <v>5626746</v>
      </c>
      <c r="L8" s="26">
        <v>44601</v>
      </c>
      <c r="M8" s="32">
        <v>44602</v>
      </c>
    </row>
    <row r="9" spans="1:13" x14ac:dyDescent="0.2">
      <c r="A9" s="12" t="s">
        <v>68</v>
      </c>
      <c r="B9" s="21">
        <v>491541</v>
      </c>
      <c r="C9" s="27">
        <v>44326</v>
      </c>
      <c r="D9" s="32">
        <v>44327</v>
      </c>
      <c r="E9" s="21">
        <v>279953</v>
      </c>
      <c r="F9" s="16">
        <v>44412</v>
      </c>
      <c r="G9" s="32">
        <v>44413</v>
      </c>
      <c r="H9" s="21">
        <v>419200</v>
      </c>
      <c r="I9" s="16">
        <v>44503</v>
      </c>
      <c r="J9" s="32">
        <v>44504</v>
      </c>
      <c r="K9" s="21">
        <v>234447</v>
      </c>
      <c r="L9" s="27">
        <v>44601</v>
      </c>
      <c r="M9" s="32">
        <v>44602</v>
      </c>
    </row>
    <row r="10" spans="1:13" x14ac:dyDescent="0.2">
      <c r="A10" s="11" t="s">
        <v>69</v>
      </c>
      <c r="B10" s="20">
        <v>320361</v>
      </c>
      <c r="C10" s="26">
        <v>44326</v>
      </c>
      <c r="D10" s="32">
        <v>44327</v>
      </c>
      <c r="E10" s="20">
        <v>78764</v>
      </c>
      <c r="F10" s="15">
        <v>44412</v>
      </c>
      <c r="G10" s="32">
        <v>44413</v>
      </c>
      <c r="H10" s="20">
        <v>50755</v>
      </c>
      <c r="I10" s="15">
        <v>44503</v>
      </c>
      <c r="J10" s="32">
        <v>44504</v>
      </c>
      <c r="K10" s="20">
        <v>291279</v>
      </c>
      <c r="L10" s="26">
        <v>44601</v>
      </c>
      <c r="M10" s="32">
        <v>44602</v>
      </c>
    </row>
    <row r="11" spans="1:13" x14ac:dyDescent="0.2">
      <c r="A11" s="13" t="s">
        <v>70</v>
      </c>
      <c r="B11" s="22">
        <v>14416241</v>
      </c>
      <c r="C11" s="28">
        <v>44326</v>
      </c>
      <c r="D11" s="32">
        <v>44327</v>
      </c>
      <c r="E11" s="22">
        <v>3544295</v>
      </c>
      <c r="F11" s="17">
        <v>44412</v>
      </c>
      <c r="G11" s="32">
        <v>44413</v>
      </c>
      <c r="H11" s="22">
        <v>2283909</v>
      </c>
      <c r="I11" s="17">
        <v>44503</v>
      </c>
      <c r="J11" s="32">
        <v>44504</v>
      </c>
      <c r="K11" s="22">
        <v>13107533</v>
      </c>
      <c r="L11" s="28">
        <v>44601</v>
      </c>
      <c r="M11" s="32">
        <v>44602</v>
      </c>
    </row>
    <row r="12" spans="1:13" x14ac:dyDescent="0.2">
      <c r="A12" s="12" t="s">
        <v>71</v>
      </c>
      <c r="B12" s="21">
        <v>1281443</v>
      </c>
      <c r="C12" s="27">
        <v>44326</v>
      </c>
      <c r="D12" s="32">
        <v>44327</v>
      </c>
      <c r="E12" s="21">
        <v>315046</v>
      </c>
      <c r="F12" s="16">
        <v>44412</v>
      </c>
      <c r="G12" s="32">
        <v>44413</v>
      </c>
      <c r="H12" s="21">
        <v>203014</v>
      </c>
      <c r="I12" s="16">
        <v>44503</v>
      </c>
      <c r="J12" s="32">
        <v>44504</v>
      </c>
      <c r="K12" s="21">
        <v>1165111</v>
      </c>
      <c r="L12" s="27">
        <v>44601</v>
      </c>
      <c r="M12" s="25">
        <v>44602</v>
      </c>
    </row>
    <row r="13" spans="1:13" x14ac:dyDescent="0.2">
      <c r="A13" s="11" t="s">
        <v>72</v>
      </c>
      <c r="B13" s="20">
        <v>32360</v>
      </c>
      <c r="C13" s="26">
        <v>44321</v>
      </c>
      <c r="D13" s="32">
        <v>44321</v>
      </c>
      <c r="E13" s="20">
        <v>38707</v>
      </c>
      <c r="F13" s="15">
        <v>44412</v>
      </c>
      <c r="G13" s="32">
        <v>44413</v>
      </c>
      <c r="H13" s="20">
        <v>47614</v>
      </c>
      <c r="I13" s="15">
        <v>44503</v>
      </c>
      <c r="J13" s="32">
        <v>44504</v>
      </c>
      <c r="K13" s="20">
        <v>39931</v>
      </c>
      <c r="L13" s="26">
        <v>44601</v>
      </c>
      <c r="M13" s="32">
        <v>44602</v>
      </c>
    </row>
    <row r="14" spans="1:13" x14ac:dyDescent="0.2">
      <c r="A14" s="13" t="s">
        <v>73</v>
      </c>
      <c r="B14" s="22">
        <v>3092273</v>
      </c>
      <c r="C14" s="28">
        <v>44321</v>
      </c>
      <c r="D14" s="32">
        <v>44321</v>
      </c>
      <c r="E14" s="22">
        <v>3698206</v>
      </c>
      <c r="F14" s="17">
        <v>44412</v>
      </c>
      <c r="G14" s="32">
        <v>44413</v>
      </c>
      <c r="H14" s="22">
        <v>4549870</v>
      </c>
      <c r="I14" s="17">
        <v>44503</v>
      </c>
      <c r="J14" s="32">
        <v>44504</v>
      </c>
      <c r="K14" s="22">
        <v>3815951</v>
      </c>
      <c r="L14" s="28">
        <v>44601</v>
      </c>
      <c r="M14" s="32">
        <v>44602</v>
      </c>
    </row>
    <row r="15" spans="1:13" x14ac:dyDescent="0.2">
      <c r="A15" s="13" t="s">
        <v>74</v>
      </c>
      <c r="B15" s="22">
        <v>100679</v>
      </c>
      <c r="C15" s="28">
        <v>44321</v>
      </c>
      <c r="D15" s="32">
        <v>44321</v>
      </c>
      <c r="E15" s="22">
        <v>120407</v>
      </c>
      <c r="F15" s="17">
        <v>44412</v>
      </c>
      <c r="G15" s="32">
        <v>44413</v>
      </c>
      <c r="H15" s="22">
        <v>148134</v>
      </c>
      <c r="I15" s="17">
        <v>44503</v>
      </c>
      <c r="J15" s="32">
        <v>44504</v>
      </c>
      <c r="K15" s="22">
        <v>124241</v>
      </c>
      <c r="L15" s="28">
        <v>44601</v>
      </c>
      <c r="M15" s="32">
        <v>44602</v>
      </c>
    </row>
    <row r="16" spans="1:13" x14ac:dyDescent="0.2">
      <c r="A16" s="12" t="s">
        <v>75</v>
      </c>
      <c r="B16" s="21">
        <v>370354</v>
      </c>
      <c r="C16" s="27">
        <v>44321</v>
      </c>
      <c r="D16" s="25">
        <v>44321</v>
      </c>
      <c r="E16" s="21">
        <v>442920</v>
      </c>
      <c r="F16" s="16">
        <v>44412</v>
      </c>
      <c r="G16" s="32">
        <v>44413</v>
      </c>
      <c r="H16" s="21">
        <v>544926</v>
      </c>
      <c r="I16" s="16">
        <v>44503</v>
      </c>
      <c r="J16" s="32">
        <v>44504</v>
      </c>
      <c r="K16" s="21">
        <v>457028</v>
      </c>
      <c r="L16" s="27">
        <v>44601</v>
      </c>
      <c r="M16" s="25">
        <v>44602</v>
      </c>
    </row>
    <row r="17" spans="1:17" x14ac:dyDescent="0.2">
      <c r="A17" s="11" t="s">
        <v>77</v>
      </c>
      <c r="B17" s="20"/>
      <c r="C17" s="26"/>
      <c r="D17" s="32"/>
      <c r="E17" s="20"/>
      <c r="F17" s="15"/>
      <c r="G17" s="32"/>
      <c r="H17" s="20"/>
      <c r="I17" s="15"/>
      <c r="J17" s="32"/>
      <c r="K17" s="20">
        <v>-1684</v>
      </c>
      <c r="L17" s="26">
        <v>44602</v>
      </c>
      <c r="M17" s="32">
        <v>44603</v>
      </c>
    </row>
    <row r="18" spans="1:17" x14ac:dyDescent="0.2">
      <c r="A18" s="11" t="s">
        <v>76</v>
      </c>
      <c r="B18" s="22"/>
      <c r="C18" s="28"/>
      <c r="D18" s="32"/>
      <c r="E18" s="22"/>
      <c r="F18" s="17"/>
      <c r="G18" s="32"/>
      <c r="H18" s="22"/>
      <c r="I18" s="17"/>
      <c r="J18" s="32"/>
      <c r="K18" s="22">
        <v>-1174</v>
      </c>
      <c r="L18" s="28">
        <v>44602</v>
      </c>
      <c r="M18" s="32">
        <v>44603</v>
      </c>
      <c r="O18" s="2"/>
      <c r="P18" s="23"/>
      <c r="Q18" s="2"/>
    </row>
    <row r="19" spans="1:17" x14ac:dyDescent="0.2">
      <c r="A19" s="11" t="s">
        <v>78</v>
      </c>
      <c r="B19" s="22"/>
      <c r="C19" s="28"/>
      <c r="D19" s="32"/>
      <c r="E19" s="22"/>
      <c r="F19" s="17"/>
      <c r="G19" s="32"/>
      <c r="H19" s="22"/>
      <c r="I19" s="17"/>
      <c r="J19" s="32"/>
      <c r="K19" s="22">
        <v>-64593</v>
      </c>
      <c r="L19" s="28">
        <v>44602</v>
      </c>
      <c r="M19" s="32">
        <v>44603</v>
      </c>
      <c r="O19" s="2"/>
      <c r="P19" s="23"/>
      <c r="Q19" s="2"/>
    </row>
    <row r="20" spans="1:17" x14ac:dyDescent="0.2">
      <c r="A20" s="11" t="s">
        <v>79</v>
      </c>
      <c r="B20" s="22"/>
      <c r="C20" s="28"/>
      <c r="D20" s="25"/>
      <c r="E20" s="21"/>
      <c r="F20" s="16"/>
      <c r="G20" s="32"/>
      <c r="H20" s="21"/>
      <c r="I20" s="16"/>
      <c r="J20" s="32"/>
      <c r="K20" s="22">
        <v>-29361</v>
      </c>
      <c r="L20" s="28">
        <v>44602</v>
      </c>
      <c r="M20" s="32">
        <v>44603</v>
      </c>
      <c r="O20" s="2"/>
      <c r="P20" s="23"/>
      <c r="Q20" s="2"/>
    </row>
    <row r="21" spans="1:17" x14ac:dyDescent="0.2">
      <c r="A21" s="11" t="s">
        <v>80</v>
      </c>
      <c r="B21" s="22"/>
      <c r="C21" s="28"/>
      <c r="D21" s="32"/>
      <c r="E21" s="22"/>
      <c r="F21" s="17"/>
      <c r="G21" s="32"/>
      <c r="H21" s="22"/>
      <c r="I21" s="17"/>
      <c r="J21" s="32"/>
      <c r="K21" s="22">
        <v>-1958</v>
      </c>
      <c r="L21" s="28">
        <v>44602</v>
      </c>
      <c r="M21" s="32">
        <v>44603</v>
      </c>
      <c r="O21" s="2"/>
      <c r="P21" s="23"/>
      <c r="Q21" s="2"/>
    </row>
    <row r="22" spans="1:17" x14ac:dyDescent="0.2">
      <c r="A22" s="11" t="s">
        <v>81</v>
      </c>
      <c r="B22" s="22"/>
      <c r="C22" s="28"/>
      <c r="D22" s="32"/>
      <c r="E22" s="22"/>
      <c r="F22" s="17"/>
      <c r="G22" s="32"/>
      <c r="H22" s="22"/>
      <c r="I22" s="17"/>
      <c r="J22" s="32"/>
      <c r="K22" s="22">
        <v>-2310.5163781781448</v>
      </c>
      <c r="L22" s="28">
        <v>44602</v>
      </c>
      <c r="M22" s="81">
        <v>44603</v>
      </c>
      <c r="O22" s="2"/>
      <c r="P22" s="23"/>
      <c r="Q22" s="2"/>
    </row>
    <row r="23" spans="1:17" x14ac:dyDescent="0.2">
      <c r="A23" s="68" t="s">
        <v>82</v>
      </c>
      <c r="B23" s="21"/>
      <c r="C23" s="27"/>
      <c r="D23" s="25"/>
      <c r="E23" s="21"/>
      <c r="F23" s="16"/>
      <c r="G23" s="32"/>
      <c r="H23" s="21"/>
      <c r="I23" s="16"/>
      <c r="J23" s="32"/>
      <c r="K23" s="21">
        <v>-117.48362182181882</v>
      </c>
      <c r="L23" s="27">
        <v>44602</v>
      </c>
      <c r="M23" s="53">
        <v>44603</v>
      </c>
      <c r="O23" s="2"/>
      <c r="P23" s="23"/>
      <c r="Q23" s="2"/>
    </row>
    <row r="24" spans="1:17" x14ac:dyDescent="0.2">
      <c r="A24" s="12" t="s">
        <v>2</v>
      </c>
      <c r="B24" s="21">
        <v>12220</v>
      </c>
      <c r="C24" s="27">
        <v>44362</v>
      </c>
      <c r="D24" s="32">
        <v>44362</v>
      </c>
      <c r="E24" s="21">
        <v>-6769</v>
      </c>
      <c r="F24" s="16">
        <v>44453</v>
      </c>
      <c r="G24" s="32">
        <v>44453</v>
      </c>
      <c r="H24" s="21">
        <v>4192</v>
      </c>
      <c r="I24" s="16">
        <v>44544</v>
      </c>
      <c r="J24" s="32">
        <v>44545</v>
      </c>
      <c r="K24" s="72">
        <v>12367</v>
      </c>
      <c r="L24" s="30">
        <v>44680</v>
      </c>
      <c r="M24" s="53">
        <v>44680</v>
      </c>
    </row>
    <row r="25" spans="1:17" x14ac:dyDescent="0.2">
      <c r="A25" s="12" t="s">
        <v>5</v>
      </c>
      <c r="B25" s="21">
        <v>286633</v>
      </c>
      <c r="C25" s="27">
        <v>44365</v>
      </c>
      <c r="D25" s="32">
        <v>44365</v>
      </c>
      <c r="E25" s="21">
        <v>759283</v>
      </c>
      <c r="F25" s="16">
        <v>44456</v>
      </c>
      <c r="G25" s="32">
        <v>44459</v>
      </c>
      <c r="H25" s="21">
        <v>58438</v>
      </c>
      <c r="I25" s="16">
        <v>44547</v>
      </c>
      <c r="J25" s="32">
        <v>44550</v>
      </c>
      <c r="K25" s="72">
        <v>-21081</v>
      </c>
      <c r="L25" s="30">
        <v>44692</v>
      </c>
      <c r="M25" s="53">
        <v>44693</v>
      </c>
    </row>
    <row r="26" spans="1:17" x14ac:dyDescent="0.2">
      <c r="A26" s="12" t="s">
        <v>6</v>
      </c>
      <c r="B26" s="21">
        <v>1302673</v>
      </c>
      <c r="C26" s="27">
        <v>44378</v>
      </c>
      <c r="D26" s="32">
        <v>44378</v>
      </c>
      <c r="E26" s="21">
        <v>543572</v>
      </c>
      <c r="F26" s="16">
        <v>44467</v>
      </c>
      <c r="G26" s="32">
        <v>44467</v>
      </c>
      <c r="H26" s="21">
        <v>-111461</v>
      </c>
      <c r="I26" s="16">
        <v>44560</v>
      </c>
      <c r="J26" s="32">
        <v>44560</v>
      </c>
      <c r="K26" s="72">
        <v>61031</v>
      </c>
      <c r="L26" s="30">
        <v>44694</v>
      </c>
      <c r="M26" s="53">
        <v>44694</v>
      </c>
    </row>
    <row r="27" spans="1:17" x14ac:dyDescent="0.2">
      <c r="A27" s="11" t="s">
        <v>7</v>
      </c>
      <c r="B27" s="20">
        <v>22392</v>
      </c>
      <c r="C27" s="26">
        <v>44379</v>
      </c>
      <c r="D27" s="32">
        <v>44379</v>
      </c>
      <c r="E27" s="20">
        <v>23976</v>
      </c>
      <c r="F27" s="15">
        <v>44475</v>
      </c>
      <c r="G27" s="32">
        <v>44475</v>
      </c>
      <c r="H27" s="20">
        <v>6243</v>
      </c>
      <c r="I27" s="15">
        <v>44564</v>
      </c>
      <c r="J27" s="32">
        <v>44564</v>
      </c>
      <c r="K27" s="20">
        <v>6533</v>
      </c>
      <c r="L27" s="26">
        <v>44701</v>
      </c>
      <c r="M27" s="32">
        <v>44701</v>
      </c>
    </row>
    <row r="28" spans="1:17" x14ac:dyDescent="0.2">
      <c r="A28" s="13" t="s">
        <v>8</v>
      </c>
      <c r="B28" s="22">
        <v>488209</v>
      </c>
      <c r="C28" s="28">
        <v>44379</v>
      </c>
      <c r="D28" s="32">
        <v>44379</v>
      </c>
      <c r="E28" s="22">
        <v>522733</v>
      </c>
      <c r="F28" s="17">
        <v>44475</v>
      </c>
      <c r="G28" s="32">
        <v>44475</v>
      </c>
      <c r="H28" s="22">
        <v>136112</v>
      </c>
      <c r="I28" s="15">
        <v>44564</v>
      </c>
      <c r="J28" s="32">
        <v>44564</v>
      </c>
      <c r="K28" s="22">
        <v>142443</v>
      </c>
      <c r="L28" s="28">
        <v>44701</v>
      </c>
      <c r="M28" s="32">
        <v>44701</v>
      </c>
    </row>
    <row r="29" spans="1:17" x14ac:dyDescent="0.2">
      <c r="A29" s="12" t="s">
        <v>9</v>
      </c>
      <c r="B29" s="21">
        <v>26875</v>
      </c>
      <c r="C29" s="27">
        <v>44379</v>
      </c>
      <c r="D29" s="32">
        <v>44379</v>
      </c>
      <c r="E29" s="21">
        <v>28777</v>
      </c>
      <c r="F29" s="16">
        <v>44475</v>
      </c>
      <c r="G29" s="32">
        <v>44475</v>
      </c>
      <c r="H29" s="21">
        <v>7492</v>
      </c>
      <c r="I29" s="15">
        <v>44564</v>
      </c>
      <c r="J29" s="32">
        <v>44564</v>
      </c>
      <c r="K29" s="21">
        <v>7842</v>
      </c>
      <c r="L29" s="27">
        <v>44701</v>
      </c>
      <c r="M29" s="53">
        <v>44701</v>
      </c>
    </row>
    <row r="30" spans="1:17" x14ac:dyDescent="0.2">
      <c r="A30" s="11" t="s">
        <v>10</v>
      </c>
      <c r="B30" s="20">
        <v>2825</v>
      </c>
      <c r="C30" s="26">
        <v>44323</v>
      </c>
      <c r="D30" s="32">
        <v>44323</v>
      </c>
      <c r="E30" s="20">
        <v>29725</v>
      </c>
      <c r="F30" s="15">
        <v>44410</v>
      </c>
      <c r="G30" s="32">
        <v>44410</v>
      </c>
      <c r="H30" s="20">
        <v>31171</v>
      </c>
      <c r="I30" s="15">
        <v>44503</v>
      </c>
      <c r="J30" s="32">
        <v>44503</v>
      </c>
      <c r="K30" s="20">
        <v>25722</v>
      </c>
      <c r="L30" s="26">
        <v>44642</v>
      </c>
      <c r="M30" s="32">
        <v>44643</v>
      </c>
    </row>
    <row r="31" spans="1:17" x14ac:dyDescent="0.2">
      <c r="A31" s="13" t="s">
        <v>11</v>
      </c>
      <c r="B31" s="22">
        <v>113616</v>
      </c>
      <c r="C31" s="26">
        <v>44323</v>
      </c>
      <c r="D31" s="32">
        <v>44323</v>
      </c>
      <c r="E31" s="22">
        <v>1189244</v>
      </c>
      <c r="F31" s="17">
        <v>44410</v>
      </c>
      <c r="G31" s="32">
        <v>44410</v>
      </c>
      <c r="H31" s="22">
        <v>1246302</v>
      </c>
      <c r="I31" s="17">
        <v>44503</v>
      </c>
      <c r="J31" s="32">
        <v>44503</v>
      </c>
      <c r="K31" s="22">
        <v>1028937</v>
      </c>
      <c r="L31" s="28">
        <v>44642</v>
      </c>
      <c r="M31" s="32">
        <v>44643</v>
      </c>
    </row>
    <row r="32" spans="1:17" x14ac:dyDescent="0.2">
      <c r="A32" s="12" t="s">
        <v>12</v>
      </c>
      <c r="B32" s="21">
        <v>5650</v>
      </c>
      <c r="C32" s="27">
        <v>44323</v>
      </c>
      <c r="D32" s="25">
        <v>44323</v>
      </c>
      <c r="E32" s="21">
        <v>59459</v>
      </c>
      <c r="F32" s="16">
        <v>44410</v>
      </c>
      <c r="G32" s="32">
        <v>44410</v>
      </c>
      <c r="H32" s="21">
        <v>62328</v>
      </c>
      <c r="I32" s="16">
        <v>44503</v>
      </c>
      <c r="J32" s="32">
        <v>44503</v>
      </c>
      <c r="K32" s="21">
        <v>51454</v>
      </c>
      <c r="L32" s="27">
        <v>44642</v>
      </c>
      <c r="M32" s="53">
        <v>44643</v>
      </c>
    </row>
    <row r="33" spans="1:13" x14ac:dyDescent="0.2">
      <c r="A33" s="11" t="s">
        <v>13</v>
      </c>
      <c r="B33" s="20">
        <v>28796</v>
      </c>
      <c r="C33" s="26">
        <v>44329</v>
      </c>
      <c r="D33" s="32">
        <v>44329</v>
      </c>
      <c r="E33" s="20">
        <v>1621</v>
      </c>
      <c r="F33" s="15">
        <v>44417</v>
      </c>
      <c r="G33" s="32">
        <v>44418</v>
      </c>
      <c r="H33" s="20">
        <v>25421</v>
      </c>
      <c r="I33" s="15">
        <v>44503</v>
      </c>
      <c r="J33" s="32">
        <v>44503</v>
      </c>
      <c r="K33" s="20">
        <v>12367</v>
      </c>
      <c r="L33" s="26">
        <v>44593</v>
      </c>
      <c r="M33" s="32">
        <v>44593</v>
      </c>
    </row>
    <row r="34" spans="1:13" x14ac:dyDescent="0.2">
      <c r="A34" s="13" t="s">
        <v>14</v>
      </c>
      <c r="B34" s="22">
        <v>867348</v>
      </c>
      <c r="C34" s="28">
        <v>44329</v>
      </c>
      <c r="D34" s="32">
        <v>44329</v>
      </c>
      <c r="E34" s="22">
        <v>48822</v>
      </c>
      <c r="F34" s="17">
        <v>44417</v>
      </c>
      <c r="G34" s="32">
        <v>44418</v>
      </c>
      <c r="H34" s="22">
        <v>765679</v>
      </c>
      <c r="I34" s="17">
        <v>44503</v>
      </c>
      <c r="J34" s="32">
        <v>44503</v>
      </c>
      <c r="K34" s="22">
        <v>372488</v>
      </c>
      <c r="L34" s="28">
        <v>44593</v>
      </c>
      <c r="M34" s="32">
        <v>44593</v>
      </c>
    </row>
    <row r="35" spans="1:13" x14ac:dyDescent="0.2">
      <c r="A35" s="12" t="s">
        <v>15</v>
      </c>
      <c r="B35" s="21">
        <v>86735</v>
      </c>
      <c r="C35" s="27">
        <v>44329</v>
      </c>
      <c r="D35" s="25">
        <v>44329</v>
      </c>
      <c r="E35" s="21">
        <v>4882</v>
      </c>
      <c r="F35" s="16">
        <v>44417</v>
      </c>
      <c r="G35" s="32">
        <v>44418</v>
      </c>
      <c r="H35" s="21">
        <v>76568</v>
      </c>
      <c r="I35" s="16">
        <v>44503</v>
      </c>
      <c r="J35" s="32">
        <v>44503</v>
      </c>
      <c r="K35" s="21">
        <v>37249</v>
      </c>
      <c r="L35" s="27">
        <v>44593</v>
      </c>
      <c r="M35" s="25">
        <v>44593</v>
      </c>
    </row>
    <row r="36" spans="1:13" x14ac:dyDescent="0.2">
      <c r="A36" s="11" t="s">
        <v>59</v>
      </c>
      <c r="B36" s="20">
        <v>62324.90000000014</v>
      </c>
      <c r="C36" s="29">
        <v>44301</v>
      </c>
      <c r="D36" s="32">
        <v>44301</v>
      </c>
      <c r="E36" s="20">
        <v>42695.10999999987</v>
      </c>
      <c r="F36" s="15">
        <v>44392</v>
      </c>
      <c r="G36" s="32">
        <v>44392</v>
      </c>
      <c r="H36" s="20">
        <v>87917.610000000102</v>
      </c>
      <c r="I36" s="26">
        <v>44490</v>
      </c>
      <c r="J36" s="32">
        <v>44490</v>
      </c>
      <c r="K36" s="20">
        <v>83331.120000000112</v>
      </c>
      <c r="L36" s="26">
        <v>44579</v>
      </c>
      <c r="M36" s="32">
        <v>44579</v>
      </c>
    </row>
    <row r="37" spans="1:13" x14ac:dyDescent="0.2">
      <c r="A37" s="13" t="s">
        <v>60</v>
      </c>
      <c r="B37" s="20">
        <v>10387.469999999972</v>
      </c>
      <c r="C37" s="27">
        <v>44301</v>
      </c>
      <c r="D37" s="32">
        <v>44301</v>
      </c>
      <c r="E37" s="20">
        <v>1028922.75</v>
      </c>
      <c r="F37" s="17">
        <v>44392</v>
      </c>
      <c r="G37" s="32">
        <v>44392</v>
      </c>
      <c r="H37" s="22">
        <v>2119366.7799999998</v>
      </c>
      <c r="I37" s="28">
        <v>44490</v>
      </c>
      <c r="J37" s="32">
        <v>44490</v>
      </c>
      <c r="K37" s="22">
        <v>2012378.5</v>
      </c>
      <c r="L37" s="28">
        <v>44579</v>
      </c>
      <c r="M37" s="32">
        <v>44579</v>
      </c>
    </row>
    <row r="38" spans="1:13" x14ac:dyDescent="0.2">
      <c r="A38" s="12" t="s">
        <v>61</v>
      </c>
      <c r="B38" s="24">
        <v>10387.479999999981</v>
      </c>
      <c r="C38" s="27">
        <v>44301</v>
      </c>
      <c r="D38" s="25">
        <v>44301</v>
      </c>
      <c r="E38" s="24">
        <v>85743.549999999814</v>
      </c>
      <c r="F38" s="16">
        <v>44392</v>
      </c>
      <c r="G38" s="25">
        <v>44392</v>
      </c>
      <c r="H38" s="21">
        <v>176613.87</v>
      </c>
      <c r="I38" s="27">
        <v>44490</v>
      </c>
      <c r="J38" s="25">
        <v>44490</v>
      </c>
      <c r="K38" s="21">
        <v>167698.18000000017</v>
      </c>
      <c r="L38" s="27">
        <v>44579</v>
      </c>
      <c r="M38" s="25">
        <v>44579</v>
      </c>
    </row>
    <row r="39" spans="1:13" x14ac:dyDescent="0.2">
      <c r="A39" s="11" t="s">
        <v>16</v>
      </c>
      <c r="B39" s="20">
        <v>45240.169999999925</v>
      </c>
      <c r="C39" s="26">
        <v>44330</v>
      </c>
      <c r="D39" s="25">
        <v>44330</v>
      </c>
      <c r="E39" s="20">
        <v>45078.89000000013</v>
      </c>
      <c r="F39" s="15">
        <v>44421</v>
      </c>
      <c r="G39" s="32">
        <v>44421</v>
      </c>
      <c r="H39" s="20">
        <v>43836.240000000224</v>
      </c>
      <c r="I39" s="26">
        <v>44516</v>
      </c>
      <c r="J39" s="32">
        <v>44516</v>
      </c>
      <c r="K39" s="20">
        <v>41390.149999999907</v>
      </c>
      <c r="L39" s="26">
        <v>44652</v>
      </c>
      <c r="M39" s="32">
        <v>44652</v>
      </c>
    </row>
    <row r="40" spans="1:13" x14ac:dyDescent="0.2">
      <c r="A40" s="12" t="s">
        <v>17</v>
      </c>
      <c r="B40" s="21">
        <v>64169.770000000019</v>
      </c>
      <c r="C40" s="27">
        <v>44330</v>
      </c>
      <c r="D40" s="25">
        <v>44330</v>
      </c>
      <c r="E40" s="21">
        <v>371610.6799999997</v>
      </c>
      <c r="F40" s="16">
        <v>44421</v>
      </c>
      <c r="G40" s="62">
        <v>44421</v>
      </c>
      <c r="H40" s="21">
        <v>221517.55000000028</v>
      </c>
      <c r="I40" s="27">
        <v>44516</v>
      </c>
      <c r="J40" s="32">
        <v>44516</v>
      </c>
      <c r="K40" s="21">
        <v>1094251.5099999998</v>
      </c>
      <c r="L40" s="27">
        <v>44652</v>
      </c>
      <c r="M40" s="53">
        <v>44652</v>
      </c>
    </row>
    <row r="41" spans="1:13" x14ac:dyDescent="0.2">
      <c r="A41" s="12" t="s">
        <v>18</v>
      </c>
      <c r="B41" s="21">
        <v>307656</v>
      </c>
      <c r="C41" s="27">
        <v>44379</v>
      </c>
      <c r="D41" s="25">
        <v>44379</v>
      </c>
      <c r="E41" s="21">
        <v>173228</v>
      </c>
      <c r="F41" s="16">
        <v>44441</v>
      </c>
      <c r="G41" s="32">
        <v>44441</v>
      </c>
      <c r="H41" s="21">
        <v>162696</v>
      </c>
      <c r="I41" s="27">
        <v>44530</v>
      </c>
      <c r="J41" s="32">
        <v>44530</v>
      </c>
      <c r="K41" s="72">
        <v>41758</v>
      </c>
      <c r="L41" s="30">
        <v>44623</v>
      </c>
      <c r="M41" s="53">
        <v>44623</v>
      </c>
    </row>
    <row r="42" spans="1:13" x14ac:dyDescent="0.2">
      <c r="A42" s="11" t="s">
        <v>19</v>
      </c>
      <c r="B42" s="20">
        <v>714082</v>
      </c>
      <c r="C42" s="26">
        <v>44344</v>
      </c>
      <c r="D42" s="25">
        <v>44347</v>
      </c>
      <c r="E42" s="20">
        <v>555802</v>
      </c>
      <c r="F42" s="15">
        <v>44426</v>
      </c>
      <c r="G42" s="32">
        <v>44426</v>
      </c>
      <c r="H42" s="20">
        <v>972178</v>
      </c>
      <c r="I42" s="26">
        <v>44529</v>
      </c>
      <c r="J42" s="32">
        <v>44529</v>
      </c>
      <c r="K42" s="20">
        <v>434684</v>
      </c>
      <c r="L42" s="26">
        <v>44651</v>
      </c>
      <c r="M42" s="32">
        <v>44651</v>
      </c>
    </row>
    <row r="43" spans="1:13" x14ac:dyDescent="0.2">
      <c r="A43" s="13" t="s">
        <v>20</v>
      </c>
      <c r="B43" s="22">
        <v>32644</v>
      </c>
      <c r="C43" s="28">
        <v>44344</v>
      </c>
      <c r="D43" s="25">
        <v>44347</v>
      </c>
      <c r="E43" s="22">
        <v>25408</v>
      </c>
      <c r="F43" s="17">
        <v>44426</v>
      </c>
      <c r="G43" s="32">
        <v>44426</v>
      </c>
      <c r="H43" s="22">
        <v>44442</v>
      </c>
      <c r="I43" s="28">
        <v>44529</v>
      </c>
      <c r="J43" s="32">
        <v>44529</v>
      </c>
      <c r="K43" s="22">
        <v>19871</v>
      </c>
      <c r="L43" s="28">
        <v>44651</v>
      </c>
      <c r="M43" s="32">
        <v>44651</v>
      </c>
    </row>
    <row r="44" spans="1:13" x14ac:dyDescent="0.2">
      <c r="A44" s="12" t="s">
        <v>21</v>
      </c>
      <c r="B44" s="21">
        <v>16321</v>
      </c>
      <c r="C44" s="27">
        <v>44344</v>
      </c>
      <c r="D44" s="25">
        <v>44347</v>
      </c>
      <c r="E44" s="21">
        <v>12705</v>
      </c>
      <c r="F44" s="16">
        <v>44426</v>
      </c>
      <c r="G44" s="25">
        <v>44426</v>
      </c>
      <c r="H44" s="21">
        <v>22221</v>
      </c>
      <c r="I44" s="27">
        <v>44529</v>
      </c>
      <c r="J44" s="32">
        <v>44529</v>
      </c>
      <c r="K44" s="21">
        <v>9936</v>
      </c>
      <c r="L44" s="27">
        <v>44651</v>
      </c>
      <c r="M44" s="32">
        <v>44651</v>
      </c>
    </row>
    <row r="45" spans="1:13" x14ac:dyDescent="0.2">
      <c r="A45" s="48" t="s">
        <v>44</v>
      </c>
      <c r="B45" s="49">
        <v>223201</v>
      </c>
      <c r="C45" s="50">
        <v>44379</v>
      </c>
      <c r="D45" s="51">
        <v>44379</v>
      </c>
      <c r="E45" s="49">
        <v>774229</v>
      </c>
      <c r="F45" s="50">
        <v>44468</v>
      </c>
      <c r="G45" s="32">
        <v>44468</v>
      </c>
      <c r="H45" s="49">
        <v>261145</v>
      </c>
      <c r="I45" s="50">
        <v>44557</v>
      </c>
      <c r="J45" s="32">
        <v>44558</v>
      </c>
      <c r="K45" s="49">
        <v>377188</v>
      </c>
      <c r="L45" s="50">
        <v>44742</v>
      </c>
      <c r="M45" s="53">
        <v>44742</v>
      </c>
    </row>
    <row r="46" spans="1:13" x14ac:dyDescent="0.2">
      <c r="A46" s="11" t="s">
        <v>36</v>
      </c>
      <c r="B46" s="20">
        <v>374070</v>
      </c>
      <c r="C46" s="26">
        <v>44379</v>
      </c>
      <c r="D46" s="32">
        <v>44383</v>
      </c>
      <c r="E46" s="20">
        <v>293911</v>
      </c>
      <c r="F46" s="26">
        <v>44468</v>
      </c>
      <c r="G46" s="32">
        <v>44468</v>
      </c>
      <c r="H46" s="20">
        <v>-22271</v>
      </c>
      <c r="I46" s="26">
        <v>44557</v>
      </c>
      <c r="J46" s="32">
        <v>44558</v>
      </c>
      <c r="K46" s="20">
        <v>311791</v>
      </c>
      <c r="L46" s="26">
        <v>44742</v>
      </c>
      <c r="M46" s="53">
        <v>44742</v>
      </c>
    </row>
    <row r="47" spans="1:13" x14ac:dyDescent="0.2">
      <c r="A47" s="54" t="s">
        <v>37</v>
      </c>
      <c r="B47" s="55">
        <v>224441</v>
      </c>
      <c r="C47" s="56">
        <v>44379</v>
      </c>
      <c r="D47" s="57">
        <v>44383</v>
      </c>
      <c r="E47" s="55">
        <v>176343</v>
      </c>
      <c r="F47" s="56">
        <v>44468</v>
      </c>
      <c r="G47" s="32">
        <v>44468</v>
      </c>
      <c r="H47" s="55">
        <v>-13364</v>
      </c>
      <c r="I47" s="56">
        <v>44557</v>
      </c>
      <c r="J47" s="32">
        <v>44558</v>
      </c>
      <c r="K47" s="55">
        <v>187074</v>
      </c>
      <c r="L47" s="56">
        <v>44742</v>
      </c>
      <c r="M47" s="53">
        <v>44742</v>
      </c>
    </row>
    <row r="48" spans="1:13" x14ac:dyDescent="0.2">
      <c r="A48" s="54" t="s">
        <v>63</v>
      </c>
      <c r="B48" s="44"/>
      <c r="C48" s="45"/>
      <c r="D48" s="53"/>
      <c r="E48" s="60" t="s">
        <v>66</v>
      </c>
      <c r="F48" s="63" t="s">
        <v>66</v>
      </c>
      <c r="G48" s="65" t="s">
        <v>66</v>
      </c>
      <c r="H48" s="44">
        <v>247948</v>
      </c>
      <c r="I48" s="45">
        <v>44557</v>
      </c>
      <c r="J48" s="32">
        <v>44558</v>
      </c>
      <c r="K48" s="44">
        <v>123239</v>
      </c>
      <c r="L48" s="45">
        <v>44742</v>
      </c>
      <c r="M48" s="53">
        <v>44742</v>
      </c>
    </row>
    <row r="49" spans="1:13" x14ac:dyDescent="0.2">
      <c r="A49" s="54" t="s">
        <v>64</v>
      </c>
      <c r="B49" s="44"/>
      <c r="C49" s="45"/>
      <c r="D49" s="25"/>
      <c r="E49" s="60" t="s">
        <v>66</v>
      </c>
      <c r="F49" s="63" t="s">
        <v>66</v>
      </c>
      <c r="G49" s="65" t="s">
        <v>66</v>
      </c>
      <c r="H49" s="44">
        <v>61986</v>
      </c>
      <c r="I49" s="45">
        <v>44557</v>
      </c>
      <c r="J49" s="32">
        <v>44558</v>
      </c>
      <c r="K49" s="44">
        <v>30809</v>
      </c>
      <c r="L49" s="45">
        <v>44742</v>
      </c>
      <c r="M49" s="53">
        <v>44742</v>
      </c>
    </row>
    <row r="50" spans="1:13" x14ac:dyDescent="0.2">
      <c r="A50" s="12" t="s">
        <v>65</v>
      </c>
      <c r="B50" s="21">
        <v>224441</v>
      </c>
      <c r="C50" s="27">
        <v>44379</v>
      </c>
      <c r="D50" s="25">
        <v>44383</v>
      </c>
      <c r="E50" s="61" t="s">
        <v>66</v>
      </c>
      <c r="F50" s="64" t="s">
        <v>66</v>
      </c>
      <c r="G50" s="66" t="s">
        <v>66</v>
      </c>
      <c r="H50" s="21">
        <v>49589</v>
      </c>
      <c r="I50" s="27">
        <v>44557</v>
      </c>
      <c r="J50" s="32">
        <v>44558</v>
      </c>
      <c r="K50" s="21">
        <v>24648</v>
      </c>
      <c r="L50" s="27">
        <v>44742</v>
      </c>
      <c r="M50" s="53">
        <v>44742</v>
      </c>
    </row>
    <row r="51" spans="1:13" x14ac:dyDescent="0.2">
      <c r="A51" s="11" t="s">
        <v>22</v>
      </c>
      <c r="B51" s="20">
        <v>132843</v>
      </c>
      <c r="C51" s="26">
        <v>44330</v>
      </c>
      <c r="D51" s="25">
        <v>44330</v>
      </c>
      <c r="E51" s="20">
        <v>16482</v>
      </c>
      <c r="F51" s="15">
        <v>44421</v>
      </c>
      <c r="G51" s="32">
        <v>44421</v>
      </c>
      <c r="H51" s="20">
        <v>125970</v>
      </c>
      <c r="I51" s="26">
        <v>44516</v>
      </c>
      <c r="J51" s="32">
        <v>44516</v>
      </c>
      <c r="K51" s="20">
        <v>4597</v>
      </c>
      <c r="L51" s="26">
        <v>44623</v>
      </c>
      <c r="M51" s="32">
        <v>44624</v>
      </c>
    </row>
    <row r="52" spans="1:13" x14ac:dyDescent="0.2">
      <c r="A52" s="13" t="s">
        <v>23</v>
      </c>
      <c r="B52" s="22">
        <v>66497</v>
      </c>
      <c r="C52" s="28">
        <v>44330</v>
      </c>
      <c r="D52" s="25">
        <v>44330</v>
      </c>
      <c r="E52" s="22">
        <v>8251</v>
      </c>
      <c r="F52" s="17">
        <v>44421</v>
      </c>
      <c r="G52" s="32">
        <v>44421</v>
      </c>
      <c r="H52" s="22">
        <v>63057</v>
      </c>
      <c r="I52" s="28">
        <v>44516</v>
      </c>
      <c r="J52" s="32">
        <v>44516</v>
      </c>
      <c r="K52" s="22">
        <v>2299</v>
      </c>
      <c r="L52" s="28">
        <v>44623</v>
      </c>
      <c r="M52" s="32">
        <v>44624</v>
      </c>
    </row>
    <row r="53" spans="1:13" x14ac:dyDescent="0.2">
      <c r="A53" s="13" t="s">
        <v>24</v>
      </c>
      <c r="B53" s="22">
        <v>93066</v>
      </c>
      <c r="C53" s="28">
        <v>44330</v>
      </c>
      <c r="D53" s="25">
        <v>44330</v>
      </c>
      <c r="E53" s="22">
        <v>11547</v>
      </c>
      <c r="F53" s="17">
        <v>44421</v>
      </c>
      <c r="G53" s="32">
        <v>44421</v>
      </c>
      <c r="H53" s="22">
        <v>88252</v>
      </c>
      <c r="I53" s="28">
        <v>44516</v>
      </c>
      <c r="J53" s="32">
        <v>44516</v>
      </c>
      <c r="K53" s="22">
        <v>3219</v>
      </c>
      <c r="L53" s="28">
        <v>44623</v>
      </c>
      <c r="M53" s="32">
        <v>44624</v>
      </c>
    </row>
    <row r="54" spans="1:13" x14ac:dyDescent="0.2">
      <c r="A54" s="12" t="s">
        <v>25</v>
      </c>
      <c r="B54" s="21">
        <v>106274</v>
      </c>
      <c r="C54" s="27">
        <v>44330</v>
      </c>
      <c r="D54" s="25">
        <v>44330</v>
      </c>
      <c r="E54" s="21">
        <v>13186</v>
      </c>
      <c r="F54" s="16">
        <v>44421</v>
      </c>
      <c r="G54" s="32">
        <v>44421</v>
      </c>
      <c r="H54" s="21">
        <v>100776</v>
      </c>
      <c r="I54" s="27">
        <v>44516</v>
      </c>
      <c r="J54" s="32">
        <v>44516</v>
      </c>
      <c r="K54" s="21">
        <v>3678</v>
      </c>
      <c r="L54" s="27">
        <v>44623</v>
      </c>
      <c r="M54" s="32">
        <v>44624</v>
      </c>
    </row>
    <row r="55" spans="1:13" x14ac:dyDescent="0.2">
      <c r="A55" s="11" t="s">
        <v>26</v>
      </c>
      <c r="B55" s="20">
        <v>248644.40000000037</v>
      </c>
      <c r="C55" s="26">
        <v>44336</v>
      </c>
      <c r="D55" s="25">
        <v>44336</v>
      </c>
      <c r="E55" s="20">
        <v>171910.58999999985</v>
      </c>
      <c r="F55" s="42">
        <v>44431</v>
      </c>
      <c r="G55" s="32">
        <v>44431</v>
      </c>
      <c r="H55" s="20">
        <v>147787.3599999994</v>
      </c>
      <c r="I55" s="26">
        <v>44530</v>
      </c>
      <c r="J55" s="32">
        <v>44530</v>
      </c>
      <c r="K55" s="20">
        <v>48755.780000000261</v>
      </c>
      <c r="L55" s="26">
        <v>44614</v>
      </c>
      <c r="M55" s="32">
        <v>44615</v>
      </c>
    </row>
    <row r="56" spans="1:13" x14ac:dyDescent="0.2">
      <c r="A56" s="13" t="s">
        <v>27</v>
      </c>
      <c r="B56" s="22">
        <v>135977.37999999989</v>
      </c>
      <c r="C56" s="28">
        <v>44336</v>
      </c>
      <c r="D56" s="25">
        <v>44336</v>
      </c>
      <c r="E56" s="22">
        <v>94013.599999999627</v>
      </c>
      <c r="F56" s="43">
        <v>44431</v>
      </c>
      <c r="G56" s="32">
        <v>44431</v>
      </c>
      <c r="H56" s="22">
        <v>80821.209999999963</v>
      </c>
      <c r="I56" s="28">
        <v>44530</v>
      </c>
      <c r="J56" s="32">
        <v>44530</v>
      </c>
      <c r="K56" s="22">
        <v>26663.310000000056</v>
      </c>
      <c r="L56" s="28">
        <v>44614</v>
      </c>
      <c r="M56" s="32">
        <v>44615</v>
      </c>
    </row>
    <row r="57" spans="1:13" x14ac:dyDescent="0.2">
      <c r="A57" s="13" t="s">
        <v>28</v>
      </c>
      <c r="B57" s="22">
        <v>97126.690000000177</v>
      </c>
      <c r="C57" s="28">
        <v>44336</v>
      </c>
      <c r="D57" s="25">
        <v>44336</v>
      </c>
      <c r="E57" s="22">
        <v>67152.570000000065</v>
      </c>
      <c r="F57" s="43">
        <v>44431</v>
      </c>
      <c r="G57" s="32">
        <v>44431</v>
      </c>
      <c r="H57" s="22">
        <v>57729.420000000158</v>
      </c>
      <c r="I57" s="28">
        <v>44530</v>
      </c>
      <c r="J57" s="32">
        <v>44530</v>
      </c>
      <c r="K57" s="22">
        <v>19045.229999999981</v>
      </c>
      <c r="L57" s="28">
        <v>44614</v>
      </c>
      <c r="M57" s="32">
        <v>44615</v>
      </c>
    </row>
    <row r="58" spans="1:13" x14ac:dyDescent="0.2">
      <c r="A58" s="13" t="s">
        <v>29</v>
      </c>
      <c r="B58" s="22">
        <v>19425.369999999995</v>
      </c>
      <c r="C58" s="28">
        <v>44336</v>
      </c>
      <c r="D58" s="25">
        <v>44336</v>
      </c>
      <c r="E58" s="22">
        <v>13430.520000000019</v>
      </c>
      <c r="F58" s="43">
        <v>44431</v>
      </c>
      <c r="G58" s="32">
        <v>44431</v>
      </c>
      <c r="H58" s="22">
        <v>11545.899999999965</v>
      </c>
      <c r="I58" s="28">
        <v>44530</v>
      </c>
      <c r="J58" s="32">
        <v>44530</v>
      </c>
      <c r="K58" s="22">
        <v>3809.0400000000373</v>
      </c>
      <c r="L58" s="28">
        <v>44614</v>
      </c>
      <c r="M58" s="32">
        <v>44615</v>
      </c>
    </row>
    <row r="59" spans="1:13" x14ac:dyDescent="0.2">
      <c r="A59" s="13" t="s">
        <v>30</v>
      </c>
      <c r="B59" s="22">
        <v>19425.369999999995</v>
      </c>
      <c r="C59" s="28">
        <v>44336</v>
      </c>
      <c r="D59" s="25">
        <v>44336</v>
      </c>
      <c r="E59" s="22">
        <v>13430.520000000019</v>
      </c>
      <c r="F59" s="43">
        <v>44431</v>
      </c>
      <c r="G59" s="32">
        <v>44431</v>
      </c>
      <c r="H59" s="22">
        <v>11545.899999999965</v>
      </c>
      <c r="I59" s="28">
        <v>44530</v>
      </c>
      <c r="J59" s="32">
        <v>44530</v>
      </c>
      <c r="K59" s="22">
        <v>3809.0400000000373</v>
      </c>
      <c r="L59" s="28">
        <v>44614</v>
      </c>
      <c r="M59" s="32">
        <v>44615</v>
      </c>
    </row>
    <row r="60" spans="1:13" x14ac:dyDescent="0.2">
      <c r="A60" s="13" t="s">
        <v>31</v>
      </c>
      <c r="B60" s="22">
        <v>77701.389999999898</v>
      </c>
      <c r="C60" s="28">
        <v>44336</v>
      </c>
      <c r="D60" s="25">
        <v>44336</v>
      </c>
      <c r="E60" s="22">
        <v>53722.040000000037</v>
      </c>
      <c r="F60" s="43">
        <v>44431</v>
      </c>
      <c r="G60" s="32">
        <v>44431</v>
      </c>
      <c r="H60" s="22">
        <v>46183.560000000289</v>
      </c>
      <c r="I60" s="28">
        <v>44530</v>
      </c>
      <c r="J60" s="32">
        <v>44530</v>
      </c>
      <c r="K60" s="22">
        <v>15236.169999999925</v>
      </c>
      <c r="L60" s="28">
        <v>44614</v>
      </c>
      <c r="M60" s="32">
        <v>44615</v>
      </c>
    </row>
    <row r="61" spans="1:13" x14ac:dyDescent="0.2">
      <c r="A61" s="12" t="s">
        <v>32</v>
      </c>
      <c r="B61" s="21">
        <v>34965.619999999879</v>
      </c>
      <c r="C61" s="27">
        <v>44336</v>
      </c>
      <c r="D61" s="25">
        <v>44336</v>
      </c>
      <c r="E61" s="21">
        <v>24174.890000000014</v>
      </c>
      <c r="F61" s="43">
        <v>44431</v>
      </c>
      <c r="G61" s="32">
        <v>44431</v>
      </c>
      <c r="H61" s="21">
        <v>20782.600000000093</v>
      </c>
      <c r="I61" s="27">
        <v>44530</v>
      </c>
      <c r="J61" s="32">
        <v>44530</v>
      </c>
      <c r="K61" s="21">
        <v>6856.2800000000279</v>
      </c>
      <c r="L61" s="27">
        <v>44614</v>
      </c>
      <c r="M61" s="32">
        <v>44615</v>
      </c>
    </row>
    <row r="62" spans="1:13" x14ac:dyDescent="0.2">
      <c r="A62" s="11" t="s">
        <v>33</v>
      </c>
      <c r="B62" s="20">
        <v>512033.25999999791</v>
      </c>
      <c r="C62" s="29">
        <v>44306</v>
      </c>
      <c r="D62" s="32">
        <v>44306</v>
      </c>
      <c r="E62" s="20">
        <v>104575.9700000002</v>
      </c>
      <c r="F62" s="15">
        <v>44392</v>
      </c>
      <c r="G62" s="32">
        <v>44392</v>
      </c>
      <c r="H62" s="20">
        <v>221866.44999999972</v>
      </c>
      <c r="I62" s="26">
        <v>44489</v>
      </c>
      <c r="J62" s="32">
        <v>44490</v>
      </c>
      <c r="K62" s="20">
        <v>213755.05000000075</v>
      </c>
      <c r="L62" s="26">
        <v>44578</v>
      </c>
      <c r="M62" s="32">
        <v>44578</v>
      </c>
    </row>
    <row r="63" spans="1:13" x14ac:dyDescent="0.2">
      <c r="A63" s="13" t="s">
        <v>34</v>
      </c>
      <c r="B63" s="22">
        <v>42669.430000000168</v>
      </c>
      <c r="C63" s="26">
        <v>44306</v>
      </c>
      <c r="D63" s="32">
        <v>44306</v>
      </c>
      <c r="E63" s="22">
        <v>17429.32</v>
      </c>
      <c r="F63" s="17">
        <v>44392</v>
      </c>
      <c r="G63" s="32">
        <v>44392</v>
      </c>
      <c r="H63" s="22">
        <v>36977.719999999972</v>
      </c>
      <c r="I63" s="28">
        <v>44489</v>
      </c>
      <c r="J63" s="32">
        <v>44490</v>
      </c>
      <c r="K63" s="22">
        <v>35625.849999999977</v>
      </c>
      <c r="L63" s="28">
        <v>44578</v>
      </c>
      <c r="M63" s="32">
        <v>44578</v>
      </c>
    </row>
    <row r="64" spans="1:13" x14ac:dyDescent="0.2">
      <c r="A64" s="12" t="s">
        <v>35</v>
      </c>
      <c r="B64" s="21">
        <v>21251.209999999963</v>
      </c>
      <c r="C64" s="30">
        <v>44306</v>
      </c>
      <c r="D64" s="25">
        <v>44306</v>
      </c>
      <c r="E64" s="21">
        <v>17429.309999999998</v>
      </c>
      <c r="F64" s="16">
        <v>44392</v>
      </c>
      <c r="G64" s="25">
        <v>44392</v>
      </c>
      <c r="H64" s="21">
        <v>36977.719999999972</v>
      </c>
      <c r="I64" s="27">
        <v>44489</v>
      </c>
      <c r="J64" s="25">
        <v>44490</v>
      </c>
      <c r="K64" s="21">
        <v>35625.849999999977</v>
      </c>
      <c r="L64" s="27">
        <v>44578</v>
      </c>
      <c r="M64" s="25">
        <v>44578</v>
      </c>
    </row>
    <row r="65" spans="1:13" x14ac:dyDescent="0.2">
      <c r="A65" s="11" t="s">
        <v>45</v>
      </c>
      <c r="B65" s="20">
        <v>39390</v>
      </c>
      <c r="C65" s="26">
        <v>44347</v>
      </c>
      <c r="D65" s="25">
        <v>44347</v>
      </c>
      <c r="E65" s="20">
        <v>45209</v>
      </c>
      <c r="F65" s="15">
        <v>44438</v>
      </c>
      <c r="G65" s="32">
        <v>44438</v>
      </c>
      <c r="H65" s="20">
        <v>99804</v>
      </c>
      <c r="I65" s="26">
        <v>44533</v>
      </c>
      <c r="J65" s="32">
        <v>44533</v>
      </c>
      <c r="K65" s="20">
        <v>-9863</v>
      </c>
      <c r="L65" s="26">
        <v>44649</v>
      </c>
      <c r="M65" s="32">
        <v>44650</v>
      </c>
    </row>
    <row r="66" spans="1:13" x14ac:dyDescent="0.2">
      <c r="A66" s="13" t="s">
        <v>46</v>
      </c>
      <c r="B66" s="22">
        <v>19695</v>
      </c>
      <c r="C66" s="28">
        <v>44347</v>
      </c>
      <c r="D66" s="25">
        <v>44347</v>
      </c>
      <c r="E66" s="22">
        <v>22604</v>
      </c>
      <c r="F66" s="17">
        <v>44438</v>
      </c>
      <c r="G66" s="32">
        <v>44438</v>
      </c>
      <c r="H66" s="22">
        <v>49902</v>
      </c>
      <c r="I66" s="17">
        <v>44533</v>
      </c>
      <c r="J66" s="32">
        <v>44533</v>
      </c>
      <c r="K66" s="22">
        <v>-4932</v>
      </c>
      <c r="L66" s="28">
        <v>44649</v>
      </c>
      <c r="M66" s="32">
        <v>44650</v>
      </c>
    </row>
    <row r="67" spans="1:13" x14ac:dyDescent="0.2">
      <c r="A67" s="13" t="s">
        <v>47</v>
      </c>
      <c r="B67" s="22">
        <v>78784</v>
      </c>
      <c r="C67" s="28">
        <v>44347</v>
      </c>
      <c r="D67" s="25">
        <v>44347</v>
      </c>
      <c r="E67" s="22">
        <v>90415</v>
      </c>
      <c r="F67" s="17">
        <v>44438</v>
      </c>
      <c r="G67" s="32">
        <v>44438</v>
      </c>
      <c r="H67" s="22">
        <v>199607</v>
      </c>
      <c r="I67" s="17">
        <v>44533</v>
      </c>
      <c r="J67" s="32">
        <v>44533</v>
      </c>
      <c r="K67" s="22">
        <v>-19724</v>
      </c>
      <c r="L67" s="28">
        <v>44649</v>
      </c>
      <c r="M67" s="32">
        <v>44650</v>
      </c>
    </row>
    <row r="68" spans="1:13" x14ac:dyDescent="0.2">
      <c r="A68" s="13" t="s">
        <v>48</v>
      </c>
      <c r="B68" s="22">
        <v>59087</v>
      </c>
      <c r="C68" s="28">
        <v>44347</v>
      </c>
      <c r="D68" s="25">
        <v>44347</v>
      </c>
      <c r="E68" s="22">
        <v>67813</v>
      </c>
      <c r="F68" s="17">
        <v>44438</v>
      </c>
      <c r="G68" s="32">
        <v>44438</v>
      </c>
      <c r="H68" s="22">
        <v>149704</v>
      </c>
      <c r="I68" s="17">
        <v>44533</v>
      </c>
      <c r="J68" s="32">
        <v>44533</v>
      </c>
      <c r="K68" s="22">
        <v>-14793</v>
      </c>
      <c r="L68" s="28">
        <v>44649</v>
      </c>
      <c r="M68" s="32">
        <v>44650</v>
      </c>
    </row>
    <row r="69" spans="1:13" x14ac:dyDescent="0.2">
      <c r="A69" s="13" t="s">
        <v>49</v>
      </c>
      <c r="B69" s="22">
        <v>14771</v>
      </c>
      <c r="C69" s="28">
        <v>44347</v>
      </c>
      <c r="D69" s="25">
        <v>44347</v>
      </c>
      <c r="E69" s="22">
        <v>16953</v>
      </c>
      <c r="F69" s="17">
        <v>44438</v>
      </c>
      <c r="G69" s="32">
        <v>44438</v>
      </c>
      <c r="H69" s="22">
        <v>37426</v>
      </c>
      <c r="I69" s="17">
        <v>44533</v>
      </c>
      <c r="J69" s="32">
        <v>44533</v>
      </c>
      <c r="K69" s="22">
        <v>-3697</v>
      </c>
      <c r="L69" s="28">
        <v>44649</v>
      </c>
      <c r="M69" s="32">
        <v>44650</v>
      </c>
    </row>
    <row r="70" spans="1:13" x14ac:dyDescent="0.2">
      <c r="A70" s="12" t="s">
        <v>50</v>
      </c>
      <c r="B70" s="21">
        <v>19695</v>
      </c>
      <c r="C70" s="27">
        <v>44347</v>
      </c>
      <c r="D70" s="25">
        <v>44347</v>
      </c>
      <c r="E70" s="21">
        <v>22604</v>
      </c>
      <c r="F70" s="16">
        <v>44438</v>
      </c>
      <c r="G70" s="32">
        <v>44438</v>
      </c>
      <c r="H70" s="21">
        <v>49902</v>
      </c>
      <c r="I70" s="16">
        <v>44533</v>
      </c>
      <c r="J70" s="32">
        <v>44533</v>
      </c>
      <c r="K70" s="21">
        <v>-4932</v>
      </c>
      <c r="L70" s="27">
        <v>44649</v>
      </c>
      <c r="M70" s="32">
        <v>44650</v>
      </c>
    </row>
    <row r="71" spans="1:13" x14ac:dyDescent="0.2">
      <c r="A71" s="11" t="s">
        <v>62</v>
      </c>
      <c r="B71" s="20">
        <v>-512</v>
      </c>
      <c r="C71" s="26">
        <v>44344</v>
      </c>
      <c r="D71" s="25">
        <v>44347</v>
      </c>
      <c r="E71" s="20">
        <v>1034</v>
      </c>
      <c r="F71" s="15">
        <v>44438</v>
      </c>
      <c r="G71" s="32">
        <v>44438</v>
      </c>
      <c r="H71" s="20">
        <v>3205</v>
      </c>
      <c r="I71" s="15">
        <v>44533</v>
      </c>
      <c r="J71" s="32">
        <v>44533</v>
      </c>
      <c r="K71" s="20">
        <v>5484</v>
      </c>
      <c r="L71" s="26">
        <v>44649</v>
      </c>
      <c r="M71" s="32">
        <v>44650</v>
      </c>
    </row>
    <row r="72" spans="1:13" x14ac:dyDescent="0.2">
      <c r="A72" s="13" t="s">
        <v>51</v>
      </c>
      <c r="B72" s="22">
        <v>-3071</v>
      </c>
      <c r="C72" s="28">
        <v>44344</v>
      </c>
      <c r="D72" s="25">
        <v>44347</v>
      </c>
      <c r="E72" s="22">
        <v>6205</v>
      </c>
      <c r="F72" s="17">
        <v>44438</v>
      </c>
      <c r="G72" s="32">
        <v>44438</v>
      </c>
      <c r="H72" s="22">
        <v>19229</v>
      </c>
      <c r="I72" s="17">
        <v>44533</v>
      </c>
      <c r="J72" s="32">
        <v>44533</v>
      </c>
      <c r="K72" s="22">
        <v>32910</v>
      </c>
      <c r="L72" s="28">
        <v>44649</v>
      </c>
      <c r="M72" s="32">
        <v>44650</v>
      </c>
    </row>
    <row r="73" spans="1:13" x14ac:dyDescent="0.2">
      <c r="A73" s="13" t="s">
        <v>52</v>
      </c>
      <c r="B73" s="22">
        <v>-512</v>
      </c>
      <c r="C73" s="28">
        <v>44344</v>
      </c>
      <c r="D73" s="25">
        <v>44347</v>
      </c>
      <c r="E73" s="22">
        <v>1034</v>
      </c>
      <c r="F73" s="17">
        <v>44438</v>
      </c>
      <c r="G73" s="32">
        <v>44438</v>
      </c>
      <c r="H73" s="22">
        <v>3205</v>
      </c>
      <c r="I73" s="17">
        <v>44533</v>
      </c>
      <c r="J73" s="32">
        <v>44533</v>
      </c>
      <c r="K73" s="22">
        <v>5484</v>
      </c>
      <c r="L73" s="28">
        <v>44649</v>
      </c>
      <c r="M73" s="32">
        <v>44650</v>
      </c>
    </row>
    <row r="74" spans="1:13" ht="12" thickBot="1" x14ac:dyDescent="0.25">
      <c r="A74" s="12" t="s">
        <v>53</v>
      </c>
      <c r="B74" s="33">
        <v>-1024</v>
      </c>
      <c r="C74" s="31">
        <v>44344</v>
      </c>
      <c r="D74" s="25">
        <v>44347</v>
      </c>
      <c r="E74" s="33">
        <v>2069</v>
      </c>
      <c r="F74" s="18">
        <v>44438</v>
      </c>
      <c r="G74" s="32">
        <v>44438</v>
      </c>
      <c r="H74" s="33">
        <v>6410</v>
      </c>
      <c r="I74" s="18">
        <v>44533</v>
      </c>
      <c r="J74" s="32">
        <v>44533</v>
      </c>
      <c r="K74" s="33">
        <v>10970</v>
      </c>
      <c r="L74" s="31">
        <v>44649</v>
      </c>
      <c r="M74" s="32">
        <v>44650</v>
      </c>
    </row>
    <row r="75" spans="1:13" ht="10.5" customHeight="1" x14ac:dyDescent="0.2">
      <c r="A75" s="7" t="s">
        <v>3</v>
      </c>
      <c r="B75" s="213" t="s">
        <v>55</v>
      </c>
      <c r="C75" s="214"/>
      <c r="D75" s="214"/>
      <c r="E75" s="213" t="s">
        <v>55</v>
      </c>
      <c r="F75" s="214"/>
      <c r="G75" s="214"/>
      <c r="H75" s="213" t="s">
        <v>55</v>
      </c>
      <c r="I75" s="214"/>
      <c r="J75" s="214"/>
      <c r="K75" s="213" t="s">
        <v>55</v>
      </c>
      <c r="L75" s="214"/>
      <c r="M75" s="214"/>
    </row>
    <row r="76" spans="1:13" ht="10.5" customHeight="1" thickBot="1" x14ac:dyDescent="0.25">
      <c r="A76" s="8" t="s">
        <v>4</v>
      </c>
      <c r="B76" s="213" t="s">
        <v>55</v>
      </c>
      <c r="C76" s="214"/>
      <c r="D76" s="214"/>
      <c r="E76" s="213" t="s">
        <v>55</v>
      </c>
      <c r="F76" s="214"/>
      <c r="G76" s="214"/>
      <c r="H76" s="213" t="s">
        <v>55</v>
      </c>
      <c r="I76" s="214"/>
      <c r="J76" s="214"/>
      <c r="K76" s="213" t="s">
        <v>55</v>
      </c>
      <c r="L76" s="214"/>
      <c r="M76" s="214"/>
    </row>
  </sheetData>
  <mergeCells count="14">
    <mergeCell ref="B75:D75"/>
    <mergeCell ref="B76:D76"/>
    <mergeCell ref="A1:A3"/>
    <mergeCell ref="B4:D4"/>
    <mergeCell ref="K4:M4"/>
    <mergeCell ref="B1:M3"/>
    <mergeCell ref="E4:G4"/>
    <mergeCell ref="H4:J4"/>
    <mergeCell ref="E75:G75"/>
    <mergeCell ref="E76:G76"/>
    <mergeCell ref="H75:J75"/>
    <mergeCell ref="H76:J76"/>
    <mergeCell ref="K75:M75"/>
    <mergeCell ref="K76:M76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ED4A-5CAD-498D-AF4F-991F1BB80C42}">
  <sheetPr codeName="Sheet2"/>
  <dimension ref="A1:Q89"/>
  <sheetViews>
    <sheetView zoomScaleNormal="115" workbookViewId="0">
      <pane ySplit="5" topLeftCell="A54" activePane="bottomLeft" state="frozen"/>
      <selection pane="bottomLeft" activeCell="H69" sqref="H69"/>
    </sheetView>
  </sheetViews>
  <sheetFormatPr defaultColWidth="9.44140625" defaultRowHeight="11.4" x14ac:dyDescent="0.2"/>
  <cols>
    <col min="1" max="1" width="19.44140625" style="1" bestFit="1" customWidth="1"/>
    <col min="2" max="2" width="15.5546875" style="23" customWidth="1"/>
    <col min="3" max="3" width="11.5546875" style="2" customWidth="1"/>
    <col min="4" max="4" width="14" style="2" customWidth="1"/>
    <col min="5" max="5" width="15.5546875" style="1" customWidth="1"/>
    <col min="6" max="6" width="11.5546875" style="2" customWidth="1"/>
    <col min="7" max="7" width="14" style="2" customWidth="1"/>
    <col min="8" max="8" width="16.44140625" style="1" customWidth="1"/>
    <col min="9" max="9" width="11.5546875" style="2" customWidth="1"/>
    <col min="10" max="10" width="14" style="2" customWidth="1"/>
    <col min="11" max="11" width="15.5546875" style="1" bestFit="1" customWidth="1"/>
    <col min="12" max="12" width="11.5546875" style="2" bestFit="1" customWidth="1"/>
    <col min="13" max="13" width="14" style="2" bestFit="1" customWidth="1"/>
    <col min="14" max="14" width="18.44140625" style="1" bestFit="1" customWidth="1"/>
    <col min="15" max="16384" width="9.44140625" style="1"/>
  </cols>
  <sheetData>
    <row r="1" spans="1:17" ht="11.25" customHeight="1" x14ac:dyDescent="0.2">
      <c r="A1" s="215"/>
      <c r="B1" s="221" t="s">
        <v>54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1:17" ht="11.25" customHeight="1" x14ac:dyDescent="0.2">
      <c r="A2" s="216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</row>
    <row r="3" spans="1:17" ht="12" customHeight="1" thickBot="1" x14ac:dyDescent="0.25">
      <c r="A3" s="217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</row>
    <row r="4" spans="1:17" ht="15" customHeight="1" x14ac:dyDescent="0.2">
      <c r="A4" s="9" t="s">
        <v>39</v>
      </c>
      <c r="B4" s="218" t="s">
        <v>40</v>
      </c>
      <c r="C4" s="219"/>
      <c r="D4" s="220"/>
      <c r="E4" s="218" t="s">
        <v>41</v>
      </c>
      <c r="F4" s="219"/>
      <c r="G4" s="220"/>
      <c r="H4" s="218" t="s">
        <v>42</v>
      </c>
      <c r="I4" s="219"/>
      <c r="J4" s="220"/>
      <c r="K4" s="218" t="s">
        <v>43</v>
      </c>
      <c r="L4" s="219"/>
      <c r="M4" s="220"/>
    </row>
    <row r="5" spans="1:17" ht="12" thickBot="1" x14ac:dyDescent="0.25">
      <c r="A5" s="10" t="s">
        <v>38</v>
      </c>
      <c r="B5" s="19" t="s">
        <v>56</v>
      </c>
      <c r="C5" s="14" t="s">
        <v>57</v>
      </c>
      <c r="D5" s="6" t="s">
        <v>58</v>
      </c>
      <c r="E5" s="10" t="s">
        <v>56</v>
      </c>
      <c r="F5" s="14" t="s">
        <v>57</v>
      </c>
      <c r="G5" s="6" t="s">
        <v>58</v>
      </c>
      <c r="H5" s="10" t="s">
        <v>56</v>
      </c>
      <c r="I5" s="14" t="s">
        <v>57</v>
      </c>
      <c r="J5" s="6" t="s">
        <v>58</v>
      </c>
      <c r="K5" s="10" t="s">
        <v>56</v>
      </c>
      <c r="L5" s="14" t="s">
        <v>57</v>
      </c>
      <c r="M5" s="6" t="s">
        <v>58</v>
      </c>
    </row>
    <row r="6" spans="1:17" x14ac:dyDescent="0.2">
      <c r="A6" s="34" t="s">
        <v>0</v>
      </c>
      <c r="B6" s="35">
        <v>34934</v>
      </c>
      <c r="C6" s="36">
        <v>44685</v>
      </c>
      <c r="D6" s="76">
        <v>44694</v>
      </c>
      <c r="E6" s="35">
        <v>771860</v>
      </c>
      <c r="F6" s="15">
        <v>44775</v>
      </c>
      <c r="G6" s="76">
        <v>44776</v>
      </c>
      <c r="H6" s="20">
        <v>-247515</v>
      </c>
      <c r="I6" s="15">
        <v>44868</v>
      </c>
      <c r="J6" s="74">
        <v>44869</v>
      </c>
      <c r="K6" s="20">
        <v>-59538</v>
      </c>
      <c r="L6" s="15">
        <v>44965</v>
      </c>
      <c r="M6" s="74">
        <v>44966</v>
      </c>
    </row>
    <row r="7" spans="1:17" x14ac:dyDescent="0.2">
      <c r="A7" s="38" t="s">
        <v>1</v>
      </c>
      <c r="B7" s="39">
        <v>1162</v>
      </c>
      <c r="C7" s="40">
        <v>44685</v>
      </c>
      <c r="D7" s="76">
        <v>44694</v>
      </c>
      <c r="E7" s="39">
        <v>25724</v>
      </c>
      <c r="F7" s="16">
        <v>44775</v>
      </c>
      <c r="G7" s="75">
        <v>44776</v>
      </c>
      <c r="H7" s="21">
        <v>-8255</v>
      </c>
      <c r="I7" s="16">
        <v>44868</v>
      </c>
      <c r="J7" s="75">
        <v>44869</v>
      </c>
      <c r="K7" s="21">
        <v>-1984</v>
      </c>
      <c r="L7" s="15">
        <v>44965</v>
      </c>
      <c r="M7" s="75">
        <v>44966</v>
      </c>
    </row>
    <row r="8" spans="1:17" x14ac:dyDescent="0.2">
      <c r="A8" s="11" t="s">
        <v>67</v>
      </c>
      <c r="B8" s="20">
        <v>6679768</v>
      </c>
      <c r="C8" s="26">
        <v>44685</v>
      </c>
      <c r="D8" s="76">
        <v>44686</v>
      </c>
      <c r="E8" s="20">
        <v>-208742</v>
      </c>
      <c r="F8" s="15">
        <v>44775</v>
      </c>
      <c r="G8" s="76">
        <v>44776</v>
      </c>
      <c r="H8" s="70">
        <v>-3894000</v>
      </c>
      <c r="I8" s="71">
        <v>44868</v>
      </c>
      <c r="J8" s="76">
        <v>44869</v>
      </c>
      <c r="K8" s="70">
        <v>-250721</v>
      </c>
      <c r="L8" s="15">
        <v>44965</v>
      </c>
      <c r="M8" s="76">
        <v>44966</v>
      </c>
      <c r="O8" s="2"/>
      <c r="P8" s="23"/>
      <c r="Q8" s="2"/>
    </row>
    <row r="9" spans="1:17" x14ac:dyDescent="0.2">
      <c r="A9" s="12" t="s">
        <v>68</v>
      </c>
      <c r="B9" s="21">
        <v>278323</v>
      </c>
      <c r="C9" s="27">
        <v>44685</v>
      </c>
      <c r="D9" s="76">
        <v>44686</v>
      </c>
      <c r="E9" s="21">
        <v>-8698</v>
      </c>
      <c r="F9" s="16">
        <v>44775</v>
      </c>
      <c r="G9" s="75">
        <v>44776</v>
      </c>
      <c r="H9" s="21">
        <v>-162247</v>
      </c>
      <c r="I9" s="16">
        <v>44868</v>
      </c>
      <c r="J9" s="75">
        <v>44869</v>
      </c>
      <c r="K9" s="21">
        <v>-10451</v>
      </c>
      <c r="L9" s="15">
        <v>44965</v>
      </c>
      <c r="M9" s="75">
        <v>44966</v>
      </c>
      <c r="O9" s="2"/>
      <c r="P9" s="23"/>
      <c r="Q9" s="2"/>
    </row>
    <row r="10" spans="1:17" x14ac:dyDescent="0.2">
      <c r="A10" s="11" t="s">
        <v>69</v>
      </c>
      <c r="B10" s="20">
        <v>567852</v>
      </c>
      <c r="C10" s="26">
        <v>44685</v>
      </c>
      <c r="D10" s="76">
        <v>44686</v>
      </c>
      <c r="E10" s="20">
        <v>-234160</v>
      </c>
      <c r="F10" s="15">
        <v>44775</v>
      </c>
      <c r="G10" s="76">
        <v>44776</v>
      </c>
      <c r="H10" s="20">
        <v>-54093</v>
      </c>
      <c r="I10" s="15">
        <v>44868</v>
      </c>
      <c r="J10" s="76">
        <v>44869</v>
      </c>
      <c r="K10" s="20">
        <v>-84425</v>
      </c>
      <c r="L10" s="15">
        <v>44965</v>
      </c>
      <c r="M10" s="76">
        <v>44966</v>
      </c>
      <c r="O10" s="2"/>
      <c r="P10" s="23"/>
      <c r="Q10" s="2"/>
    </row>
    <row r="11" spans="1:17" x14ac:dyDescent="0.2">
      <c r="A11" s="13" t="s">
        <v>70</v>
      </c>
      <c r="B11" s="22">
        <v>25553259</v>
      </c>
      <c r="C11" s="28">
        <v>44685</v>
      </c>
      <c r="D11" s="76">
        <v>44686</v>
      </c>
      <c r="E11" s="22">
        <v>-10537163</v>
      </c>
      <c r="F11" s="17">
        <v>44775</v>
      </c>
      <c r="G11" s="76">
        <v>44776</v>
      </c>
      <c r="H11" s="22">
        <v>-2434246</v>
      </c>
      <c r="I11" s="17">
        <v>44868</v>
      </c>
      <c r="J11" s="76">
        <v>44869</v>
      </c>
      <c r="K11" s="22">
        <v>-3799210</v>
      </c>
      <c r="L11" s="15">
        <v>44965</v>
      </c>
      <c r="M11" s="76">
        <v>44966</v>
      </c>
      <c r="N11" s="23">
        <v>-10573604</v>
      </c>
      <c r="O11" s="2"/>
      <c r="P11" s="23"/>
      <c r="Q11" s="2"/>
    </row>
    <row r="12" spans="1:17" x14ac:dyDescent="0.2">
      <c r="A12" s="12" t="s">
        <v>71</v>
      </c>
      <c r="B12" s="21">
        <v>2271401</v>
      </c>
      <c r="C12" s="27">
        <v>44685</v>
      </c>
      <c r="D12" s="76">
        <v>44686</v>
      </c>
      <c r="E12" s="21">
        <v>-936643</v>
      </c>
      <c r="F12" s="16">
        <v>44775</v>
      </c>
      <c r="G12" s="75">
        <v>44776</v>
      </c>
      <c r="H12" s="21">
        <v>-216376</v>
      </c>
      <c r="I12" s="16">
        <v>44868</v>
      </c>
      <c r="J12" s="75">
        <v>44869</v>
      </c>
      <c r="K12" s="21">
        <v>-337709</v>
      </c>
      <c r="L12" s="15">
        <v>44965</v>
      </c>
      <c r="M12" s="75">
        <v>44966</v>
      </c>
      <c r="O12" s="2"/>
      <c r="P12" s="23"/>
      <c r="Q12" s="2"/>
    </row>
    <row r="13" spans="1:17" x14ac:dyDescent="0.2">
      <c r="A13" s="11" t="s">
        <v>72</v>
      </c>
      <c r="B13" s="20">
        <v>46298</v>
      </c>
      <c r="C13" s="26">
        <v>44685</v>
      </c>
      <c r="D13" s="76">
        <v>44686</v>
      </c>
      <c r="E13" s="20">
        <v>-23536</v>
      </c>
      <c r="F13" s="15">
        <v>44775</v>
      </c>
      <c r="G13" s="76">
        <v>44776</v>
      </c>
      <c r="H13" s="20">
        <v>-4024</v>
      </c>
      <c r="I13" s="15">
        <v>44868</v>
      </c>
      <c r="J13" s="76">
        <v>44869</v>
      </c>
      <c r="K13" s="20">
        <v>-27545</v>
      </c>
      <c r="L13" s="15">
        <v>44965</v>
      </c>
      <c r="M13" s="76">
        <v>44966</v>
      </c>
      <c r="O13" s="2"/>
      <c r="P13" s="23"/>
      <c r="Q13" s="2"/>
    </row>
    <row r="14" spans="1:17" x14ac:dyDescent="0.2">
      <c r="A14" s="13" t="s">
        <v>73</v>
      </c>
      <c r="B14" s="22">
        <v>4424460</v>
      </c>
      <c r="C14" s="28">
        <v>44685</v>
      </c>
      <c r="D14" s="76">
        <v>44686</v>
      </c>
      <c r="E14" s="22">
        <v>-2250038</v>
      </c>
      <c r="F14" s="17">
        <v>44775</v>
      </c>
      <c r="G14" s="76">
        <v>44776</v>
      </c>
      <c r="H14" s="22">
        <v>-384329</v>
      </c>
      <c r="I14" s="17">
        <v>44868</v>
      </c>
      <c r="J14" s="76">
        <v>44869</v>
      </c>
      <c r="K14" s="22">
        <v>-2631600</v>
      </c>
      <c r="L14" s="15">
        <v>44965</v>
      </c>
      <c r="M14" s="76">
        <v>44966</v>
      </c>
      <c r="O14" s="2"/>
      <c r="P14" s="23"/>
      <c r="Q14" s="2"/>
    </row>
    <row r="15" spans="1:17" x14ac:dyDescent="0.2">
      <c r="A15" s="13" t="s">
        <v>74</v>
      </c>
      <c r="B15" s="22">
        <v>144058</v>
      </c>
      <c r="C15" s="28">
        <v>44685</v>
      </c>
      <c r="D15" s="76">
        <v>44686</v>
      </c>
      <c r="E15" s="22">
        <v>-73257</v>
      </c>
      <c r="F15" s="17">
        <v>44775</v>
      </c>
      <c r="G15" s="76">
        <v>44776</v>
      </c>
      <c r="H15" s="22">
        <v>-12516</v>
      </c>
      <c r="I15" s="17">
        <v>44868</v>
      </c>
      <c r="J15" s="76">
        <v>44869</v>
      </c>
      <c r="K15" s="22">
        <v>-85677</v>
      </c>
      <c r="L15" s="15">
        <v>44965</v>
      </c>
      <c r="M15" s="76">
        <v>44966</v>
      </c>
      <c r="O15" s="2"/>
      <c r="P15" s="23"/>
      <c r="Q15" s="2"/>
    </row>
    <row r="16" spans="1:17" x14ac:dyDescent="0.2">
      <c r="A16" s="12" t="s">
        <v>75</v>
      </c>
      <c r="B16" s="21">
        <v>529905</v>
      </c>
      <c r="C16" s="27">
        <v>44685</v>
      </c>
      <c r="D16" s="77">
        <v>44686</v>
      </c>
      <c r="E16" s="21">
        <v>-269485</v>
      </c>
      <c r="F16" s="16">
        <v>44775</v>
      </c>
      <c r="G16" s="77">
        <v>44776</v>
      </c>
      <c r="H16" s="21">
        <v>-46032</v>
      </c>
      <c r="I16" s="16">
        <v>44868</v>
      </c>
      <c r="J16" s="77">
        <v>44869</v>
      </c>
      <c r="K16" s="21">
        <v>-315181</v>
      </c>
      <c r="L16" s="15">
        <v>44965</v>
      </c>
      <c r="M16" s="77">
        <v>44966</v>
      </c>
      <c r="O16" s="2"/>
      <c r="P16" s="23"/>
      <c r="Q16" s="2"/>
    </row>
    <row r="17" spans="1:17" x14ac:dyDescent="0.2">
      <c r="A17" s="11" t="s">
        <v>77</v>
      </c>
      <c r="B17" s="20">
        <v>-8888</v>
      </c>
      <c r="C17" s="26">
        <v>44685</v>
      </c>
      <c r="D17" s="76">
        <v>44686</v>
      </c>
      <c r="E17" s="20">
        <v>-25272</v>
      </c>
      <c r="F17" s="15">
        <v>44775</v>
      </c>
      <c r="G17" s="76">
        <v>44776</v>
      </c>
      <c r="H17" s="20">
        <v>-36913</v>
      </c>
      <c r="I17" s="15">
        <v>44868</v>
      </c>
      <c r="J17" s="76">
        <v>44869</v>
      </c>
      <c r="K17" s="20">
        <v>-21176</v>
      </c>
      <c r="L17" s="15">
        <v>44965</v>
      </c>
      <c r="M17" s="76"/>
      <c r="O17" s="2"/>
      <c r="P17" s="23"/>
      <c r="Q17" s="2"/>
    </row>
    <row r="18" spans="1:17" x14ac:dyDescent="0.2">
      <c r="A18" s="11" t="s">
        <v>76</v>
      </c>
      <c r="B18" s="22">
        <v>-6171</v>
      </c>
      <c r="C18" s="28">
        <v>44685</v>
      </c>
      <c r="D18" s="76">
        <v>44686</v>
      </c>
      <c r="E18" s="22">
        <v>-17631</v>
      </c>
      <c r="F18" s="17">
        <v>44775</v>
      </c>
      <c r="G18" s="76">
        <v>44776</v>
      </c>
      <c r="H18" s="22">
        <v>-25748</v>
      </c>
      <c r="I18" s="17">
        <v>44868</v>
      </c>
      <c r="J18" s="76">
        <v>44869</v>
      </c>
      <c r="K18" s="22">
        <v>-14775</v>
      </c>
      <c r="L18" s="15">
        <v>44965</v>
      </c>
      <c r="M18" s="76">
        <v>44966</v>
      </c>
      <c r="O18" s="2"/>
      <c r="P18" s="23"/>
      <c r="Q18" s="2"/>
    </row>
    <row r="19" spans="1:17" x14ac:dyDescent="0.2">
      <c r="A19" s="11" t="s">
        <v>78</v>
      </c>
      <c r="B19" s="22">
        <v>-339429</v>
      </c>
      <c r="C19" s="28">
        <v>44685</v>
      </c>
      <c r="D19" s="76">
        <v>44686</v>
      </c>
      <c r="E19" s="22">
        <v>-969689</v>
      </c>
      <c r="F19" s="17">
        <v>44775</v>
      </c>
      <c r="G19" s="76">
        <v>44776</v>
      </c>
      <c r="H19" s="22">
        <v>-1416274</v>
      </c>
      <c r="I19" s="17">
        <v>44868</v>
      </c>
      <c r="J19" s="76">
        <v>44869</v>
      </c>
      <c r="K19" s="22">
        <v>-812611</v>
      </c>
      <c r="L19" s="15">
        <v>44965</v>
      </c>
      <c r="M19" s="76">
        <v>44966</v>
      </c>
      <c r="O19" s="2"/>
      <c r="P19" s="23"/>
      <c r="Q19" s="2"/>
    </row>
    <row r="20" spans="1:17" x14ac:dyDescent="0.2">
      <c r="A20" s="11" t="s">
        <v>79</v>
      </c>
      <c r="B20" s="22">
        <v>-154285</v>
      </c>
      <c r="C20" s="28">
        <v>44685</v>
      </c>
      <c r="D20" s="76">
        <v>44686</v>
      </c>
      <c r="E20" s="22">
        <v>-440770</v>
      </c>
      <c r="F20" s="17">
        <v>44775</v>
      </c>
      <c r="G20" s="76">
        <v>44776</v>
      </c>
      <c r="H20" s="22">
        <v>-643760</v>
      </c>
      <c r="I20" s="28">
        <v>44868</v>
      </c>
      <c r="J20" s="76">
        <v>44869</v>
      </c>
      <c r="K20" s="22">
        <v>-369364</v>
      </c>
      <c r="L20" s="15">
        <v>44965</v>
      </c>
      <c r="M20" s="76">
        <v>44966</v>
      </c>
      <c r="O20" s="2"/>
      <c r="P20" s="23"/>
      <c r="Q20" s="2"/>
    </row>
    <row r="21" spans="1:17" x14ac:dyDescent="0.2">
      <c r="A21" s="11" t="s">
        <v>80</v>
      </c>
      <c r="B21" s="22">
        <v>-10287</v>
      </c>
      <c r="C21" s="28">
        <v>44685</v>
      </c>
      <c r="D21" s="76">
        <v>44686</v>
      </c>
      <c r="E21" s="22">
        <v>-29385</v>
      </c>
      <c r="F21" s="17">
        <v>44775</v>
      </c>
      <c r="G21" s="76">
        <v>44776</v>
      </c>
      <c r="H21" s="22">
        <v>-42915</v>
      </c>
      <c r="I21" s="28">
        <v>44868</v>
      </c>
      <c r="J21" s="76">
        <v>44869</v>
      </c>
      <c r="K21" s="22">
        <v>-24623</v>
      </c>
      <c r="L21" s="15">
        <v>44965</v>
      </c>
      <c r="M21" s="76">
        <v>44966</v>
      </c>
      <c r="O21" s="2"/>
      <c r="P21" s="23"/>
      <c r="Q21" s="2"/>
    </row>
    <row r="22" spans="1:17" x14ac:dyDescent="0.2">
      <c r="A22" s="11" t="s">
        <v>81</v>
      </c>
      <c r="B22" s="22">
        <v>-12135.920663470519</v>
      </c>
      <c r="C22" s="28">
        <v>44685</v>
      </c>
      <c r="D22" s="76">
        <v>44686</v>
      </c>
      <c r="E22" s="22">
        <v>-34673.923093771562</v>
      </c>
      <c r="F22" s="17">
        <v>44775</v>
      </c>
      <c r="G22" s="76">
        <v>44776</v>
      </c>
      <c r="H22" s="22">
        <v>-50643.891698893625</v>
      </c>
      <c r="I22" s="17">
        <v>44868</v>
      </c>
      <c r="J22" s="76">
        <v>44869</v>
      </c>
      <c r="K22" s="22">
        <v>-29054.648294290062</v>
      </c>
      <c r="L22" s="15">
        <v>44965</v>
      </c>
      <c r="M22" s="76">
        <v>44966</v>
      </c>
      <c r="O22" s="2"/>
      <c r="P22" s="23"/>
      <c r="Q22" s="2"/>
    </row>
    <row r="23" spans="1:17" x14ac:dyDescent="0.2">
      <c r="A23" s="68" t="s">
        <v>82</v>
      </c>
      <c r="B23" s="21">
        <v>-617.07933652950305</v>
      </c>
      <c r="C23" s="27">
        <v>44685</v>
      </c>
      <c r="D23" s="77">
        <v>44686</v>
      </c>
      <c r="E23" s="21">
        <v>-1763.0769062279869</v>
      </c>
      <c r="F23" s="16">
        <v>44775</v>
      </c>
      <c r="G23" s="77">
        <v>44776</v>
      </c>
      <c r="H23" s="21">
        <v>-2575.1083011065493</v>
      </c>
      <c r="I23" s="16">
        <v>44868</v>
      </c>
      <c r="J23" s="77">
        <v>44869</v>
      </c>
      <c r="K23" s="21">
        <v>-1477.3525645861228</v>
      </c>
      <c r="L23" s="15">
        <v>44965</v>
      </c>
      <c r="M23" s="77">
        <v>44966</v>
      </c>
      <c r="O23" s="2"/>
      <c r="P23" s="23"/>
      <c r="Q23" s="2"/>
    </row>
    <row r="24" spans="1:17" x14ac:dyDescent="0.2">
      <c r="A24" s="67" t="s">
        <v>2</v>
      </c>
      <c r="B24" s="72">
        <v>-10707</v>
      </c>
      <c r="C24" s="30">
        <v>44727</v>
      </c>
      <c r="D24" s="77">
        <v>44727</v>
      </c>
      <c r="E24" s="72">
        <v>51159</v>
      </c>
      <c r="F24" s="73">
        <v>44818</v>
      </c>
      <c r="G24" s="77">
        <v>44819</v>
      </c>
      <c r="H24" s="72">
        <v>-14489</v>
      </c>
      <c r="I24" s="73">
        <v>44910</v>
      </c>
      <c r="J24" s="77">
        <v>44911</v>
      </c>
      <c r="K24" s="72">
        <v>2249</v>
      </c>
      <c r="L24" s="73">
        <v>45050</v>
      </c>
      <c r="M24" s="77">
        <v>45050</v>
      </c>
    </row>
    <row r="25" spans="1:17" x14ac:dyDescent="0.2">
      <c r="A25" s="12" t="s">
        <v>5</v>
      </c>
      <c r="B25" s="21">
        <v>112283</v>
      </c>
      <c r="C25" s="27">
        <v>44728</v>
      </c>
      <c r="D25" s="77">
        <v>44729</v>
      </c>
      <c r="E25" s="21">
        <v>-120360</v>
      </c>
      <c r="F25" s="16">
        <v>44825</v>
      </c>
      <c r="G25" s="77">
        <v>44825</v>
      </c>
      <c r="H25" s="21">
        <v>-189710</v>
      </c>
      <c r="I25" s="16">
        <v>44916</v>
      </c>
      <c r="J25" s="77">
        <v>44916</v>
      </c>
      <c r="K25" s="21">
        <v>-119301</v>
      </c>
      <c r="L25" s="16">
        <v>45070</v>
      </c>
      <c r="M25" s="77">
        <v>45070</v>
      </c>
    </row>
    <row r="26" spans="1:17" x14ac:dyDescent="0.2">
      <c r="A26" s="12" t="s">
        <v>6</v>
      </c>
      <c r="B26" s="21">
        <v>-321633</v>
      </c>
      <c r="C26" s="27">
        <v>44753</v>
      </c>
      <c r="D26" s="77">
        <v>44754</v>
      </c>
      <c r="E26" s="21">
        <v>-142727</v>
      </c>
      <c r="F26" s="16">
        <v>44832</v>
      </c>
      <c r="G26" s="77">
        <v>44832</v>
      </c>
      <c r="H26" s="21">
        <v>242544</v>
      </c>
      <c r="I26" s="16">
        <v>44924</v>
      </c>
      <c r="J26" s="79"/>
      <c r="K26" s="21">
        <v>-319870</v>
      </c>
      <c r="L26" s="27">
        <v>45058</v>
      </c>
      <c r="M26" s="77">
        <v>45061</v>
      </c>
    </row>
    <row r="27" spans="1:17" x14ac:dyDescent="0.2">
      <c r="A27" s="11" t="s">
        <v>7</v>
      </c>
      <c r="B27" s="20">
        <v>-2215</v>
      </c>
      <c r="C27" s="26">
        <v>44756</v>
      </c>
      <c r="D27" s="76">
        <v>44756</v>
      </c>
      <c r="E27" s="20">
        <v>-7469</v>
      </c>
      <c r="F27" s="15">
        <v>44840</v>
      </c>
      <c r="G27" s="76">
        <v>44840</v>
      </c>
      <c r="H27" s="20">
        <v>-2241</v>
      </c>
      <c r="I27" s="15">
        <v>44924</v>
      </c>
      <c r="J27" s="76">
        <v>44924</v>
      </c>
      <c r="K27" s="20">
        <v>-2997</v>
      </c>
      <c r="L27" s="15">
        <v>45063</v>
      </c>
      <c r="M27" s="76">
        <v>45064</v>
      </c>
    </row>
    <row r="28" spans="1:17" x14ac:dyDescent="0.2">
      <c r="A28" s="13" t="s">
        <v>8</v>
      </c>
      <c r="B28" s="22">
        <v>-48239</v>
      </c>
      <c r="C28" s="28">
        <v>44756</v>
      </c>
      <c r="D28" s="76">
        <v>44756</v>
      </c>
      <c r="E28" s="22">
        <v>-162792</v>
      </c>
      <c r="F28" s="17">
        <v>44840</v>
      </c>
      <c r="G28" s="76">
        <v>44840</v>
      </c>
      <c r="H28" s="22">
        <v>-48795</v>
      </c>
      <c r="I28" s="15">
        <v>44924</v>
      </c>
      <c r="J28" s="76">
        <v>44924</v>
      </c>
      <c r="K28" s="22">
        <v>-65267</v>
      </c>
      <c r="L28" s="17">
        <v>45063</v>
      </c>
      <c r="M28" s="76">
        <v>45064</v>
      </c>
    </row>
    <row r="29" spans="1:17" x14ac:dyDescent="0.2">
      <c r="A29" s="12" t="s">
        <v>9</v>
      </c>
      <c r="B29" s="21">
        <v>-2654</v>
      </c>
      <c r="C29" s="27">
        <v>44756</v>
      </c>
      <c r="D29" s="77">
        <v>44756</v>
      </c>
      <c r="E29" s="21">
        <v>-8960</v>
      </c>
      <c r="F29" s="16">
        <v>44840</v>
      </c>
      <c r="G29" s="77">
        <v>44840</v>
      </c>
      <c r="H29" s="21">
        <v>-2686</v>
      </c>
      <c r="I29" s="16">
        <v>44924</v>
      </c>
      <c r="J29" s="76">
        <v>44924</v>
      </c>
      <c r="K29" s="21">
        <v>-3589</v>
      </c>
      <c r="L29" s="16">
        <v>45063</v>
      </c>
      <c r="M29" s="77">
        <v>45064</v>
      </c>
    </row>
    <row r="30" spans="1:17" x14ac:dyDescent="0.2">
      <c r="A30" s="11" t="s">
        <v>10</v>
      </c>
      <c r="B30" s="20">
        <v>47693</v>
      </c>
      <c r="C30" s="26">
        <v>44705</v>
      </c>
      <c r="D30" s="76">
        <v>44706</v>
      </c>
      <c r="E30" s="20">
        <v>16100</v>
      </c>
      <c r="F30" s="15">
        <v>44789</v>
      </c>
      <c r="G30" s="76">
        <v>44789</v>
      </c>
      <c r="H30" s="20">
        <v>-926</v>
      </c>
      <c r="I30" s="15">
        <v>44861</v>
      </c>
      <c r="J30" s="76">
        <v>44861</v>
      </c>
      <c r="K30" s="20">
        <v>-6909</v>
      </c>
      <c r="L30" s="15">
        <v>44992</v>
      </c>
      <c r="M30" s="76">
        <v>44992</v>
      </c>
    </row>
    <row r="31" spans="1:17" x14ac:dyDescent="0.2">
      <c r="A31" s="13" t="s">
        <v>11</v>
      </c>
      <c r="B31" s="22">
        <v>1907932</v>
      </c>
      <c r="C31" s="26">
        <v>44705</v>
      </c>
      <c r="D31" s="76">
        <v>44706</v>
      </c>
      <c r="E31" s="22">
        <v>643512</v>
      </c>
      <c r="F31" s="17">
        <v>44789</v>
      </c>
      <c r="G31" s="76">
        <v>44789</v>
      </c>
      <c r="H31" s="22">
        <v>-37147</v>
      </c>
      <c r="I31" s="17">
        <v>44861</v>
      </c>
      <c r="J31" s="76">
        <v>44861</v>
      </c>
      <c r="K31" s="22">
        <v>-276156</v>
      </c>
      <c r="L31" s="17">
        <v>44992</v>
      </c>
      <c r="M31" s="76">
        <v>44992</v>
      </c>
    </row>
    <row r="32" spans="1:17" x14ac:dyDescent="0.2">
      <c r="A32" s="12" t="s">
        <v>12</v>
      </c>
      <c r="B32" s="21">
        <v>95389</v>
      </c>
      <c r="C32" s="27">
        <v>44705</v>
      </c>
      <c r="D32" s="77">
        <v>44706</v>
      </c>
      <c r="E32" s="21">
        <v>32205</v>
      </c>
      <c r="F32" s="16">
        <v>44789</v>
      </c>
      <c r="G32" s="77">
        <v>44789</v>
      </c>
      <c r="H32" s="21">
        <v>-1856</v>
      </c>
      <c r="I32" s="16">
        <v>44861</v>
      </c>
      <c r="J32" s="77">
        <v>44861</v>
      </c>
      <c r="K32" s="21">
        <v>-13804</v>
      </c>
      <c r="L32" s="16">
        <v>44992</v>
      </c>
      <c r="M32" s="77">
        <v>44992</v>
      </c>
    </row>
    <row r="33" spans="1:13" x14ac:dyDescent="0.2">
      <c r="A33" s="11" t="s">
        <v>13</v>
      </c>
      <c r="B33" s="20">
        <v>11986</v>
      </c>
      <c r="C33" s="26">
        <v>44691</v>
      </c>
      <c r="D33" s="76">
        <v>44692</v>
      </c>
      <c r="E33" s="20">
        <v>2380</v>
      </c>
      <c r="F33" s="15">
        <v>44789</v>
      </c>
      <c r="G33" s="76">
        <v>44789</v>
      </c>
      <c r="H33" s="20">
        <v>4163</v>
      </c>
      <c r="I33" s="15">
        <v>44865</v>
      </c>
      <c r="J33" s="76">
        <v>44865</v>
      </c>
      <c r="K33" s="20">
        <v>-12681</v>
      </c>
      <c r="L33" s="15">
        <v>44958</v>
      </c>
      <c r="M33" s="76">
        <v>44959</v>
      </c>
    </row>
    <row r="34" spans="1:13" x14ac:dyDescent="0.2">
      <c r="A34" s="13" t="s">
        <v>14</v>
      </c>
      <c r="B34" s="22">
        <v>361028</v>
      </c>
      <c r="C34" s="28">
        <v>44691</v>
      </c>
      <c r="D34" s="76">
        <v>44692</v>
      </c>
      <c r="E34" s="22">
        <v>71668</v>
      </c>
      <c r="F34" s="15">
        <v>44789</v>
      </c>
      <c r="G34" s="76">
        <v>44789</v>
      </c>
      <c r="H34" s="22">
        <v>125391</v>
      </c>
      <c r="I34" s="17">
        <v>44865</v>
      </c>
      <c r="J34" s="76">
        <v>44865</v>
      </c>
      <c r="K34" s="22">
        <v>-381930</v>
      </c>
      <c r="L34" s="17">
        <v>44958</v>
      </c>
      <c r="M34" s="76">
        <v>44959</v>
      </c>
    </row>
    <row r="35" spans="1:13" x14ac:dyDescent="0.2">
      <c r="A35" s="12" t="s">
        <v>15</v>
      </c>
      <c r="B35" s="21">
        <v>36102</v>
      </c>
      <c r="C35" s="27">
        <v>44691</v>
      </c>
      <c r="D35" s="77">
        <v>44692</v>
      </c>
      <c r="E35" s="21">
        <v>7167</v>
      </c>
      <c r="F35" s="15">
        <v>44789</v>
      </c>
      <c r="G35" s="77">
        <v>44789</v>
      </c>
      <c r="H35" s="21">
        <v>12539</v>
      </c>
      <c r="I35" s="16">
        <v>44865</v>
      </c>
      <c r="J35" s="77">
        <v>44865</v>
      </c>
      <c r="K35" s="21">
        <v>-38193</v>
      </c>
      <c r="L35" s="16">
        <v>44958</v>
      </c>
      <c r="M35" s="77">
        <v>44959</v>
      </c>
    </row>
    <row r="36" spans="1:13" x14ac:dyDescent="0.2">
      <c r="A36" s="11" t="s">
        <v>59</v>
      </c>
      <c r="B36" s="20">
        <v>88325.75</v>
      </c>
      <c r="C36" s="29">
        <v>44669</v>
      </c>
      <c r="D36" s="76">
        <v>44670</v>
      </c>
      <c r="E36" s="20">
        <v>77345.079999999842</v>
      </c>
      <c r="F36" s="15">
        <v>44757</v>
      </c>
      <c r="G36" s="76">
        <v>44757</v>
      </c>
      <c r="H36" s="20">
        <v>-926</v>
      </c>
      <c r="I36" s="26">
        <v>44852</v>
      </c>
      <c r="J36" s="76">
        <v>44853</v>
      </c>
      <c r="K36" s="20">
        <v>-89151.119999999879</v>
      </c>
      <c r="L36" s="15">
        <v>44944</v>
      </c>
      <c r="M36" s="76">
        <v>44944</v>
      </c>
    </row>
    <row r="37" spans="1:13" x14ac:dyDescent="0.2">
      <c r="A37" s="13" t="s">
        <v>60</v>
      </c>
      <c r="B37" s="22">
        <v>2135795.41</v>
      </c>
      <c r="C37" s="26">
        <v>44669</v>
      </c>
      <c r="D37" s="76">
        <v>44670</v>
      </c>
      <c r="E37" s="20">
        <v>1871204.049999997</v>
      </c>
      <c r="F37" s="17">
        <v>44757</v>
      </c>
      <c r="G37" s="76">
        <v>44757</v>
      </c>
      <c r="H37" s="22">
        <v>-37147</v>
      </c>
      <c r="I37" s="28">
        <v>44852</v>
      </c>
      <c r="J37" s="76">
        <v>44853</v>
      </c>
      <c r="K37" s="20">
        <v>-2087759.9800000004</v>
      </c>
      <c r="L37" s="17">
        <v>44944</v>
      </c>
      <c r="M37" s="76">
        <v>44944</v>
      </c>
    </row>
    <row r="38" spans="1:13" x14ac:dyDescent="0.2">
      <c r="A38" s="12" t="s">
        <v>61</v>
      </c>
      <c r="B38" s="21">
        <v>177982.89999999991</v>
      </c>
      <c r="C38" s="30">
        <v>44669</v>
      </c>
      <c r="D38" s="77">
        <v>44670</v>
      </c>
      <c r="E38" s="24">
        <v>155933.65000000037</v>
      </c>
      <c r="F38" s="16">
        <v>44757</v>
      </c>
      <c r="G38" s="77">
        <v>44757</v>
      </c>
      <c r="H38" s="21">
        <v>-1856</v>
      </c>
      <c r="I38" s="27">
        <v>44852</v>
      </c>
      <c r="J38" s="76">
        <v>44853</v>
      </c>
      <c r="K38" s="24">
        <v>-179765.04999999981</v>
      </c>
      <c r="L38" s="16">
        <v>44944</v>
      </c>
      <c r="M38" s="76">
        <v>44944</v>
      </c>
    </row>
    <row r="39" spans="1:13" x14ac:dyDescent="0.2">
      <c r="A39" s="11" t="s">
        <v>16</v>
      </c>
      <c r="B39" s="20">
        <v>48022.209999999963</v>
      </c>
      <c r="C39" s="26">
        <v>44697</v>
      </c>
      <c r="D39" s="76">
        <v>44698</v>
      </c>
      <c r="E39" s="20">
        <v>38517.420000000158</v>
      </c>
      <c r="F39" s="15">
        <v>44825</v>
      </c>
      <c r="G39" s="77">
        <v>44825</v>
      </c>
      <c r="H39" s="20">
        <v>41263.449999999953</v>
      </c>
      <c r="I39" s="26">
        <v>44886</v>
      </c>
      <c r="J39" s="76">
        <v>44887</v>
      </c>
      <c r="K39" s="20">
        <v>29758.020000000019</v>
      </c>
      <c r="L39" s="15">
        <v>45026</v>
      </c>
      <c r="M39" s="76">
        <v>45026</v>
      </c>
    </row>
    <row r="40" spans="1:13" x14ac:dyDescent="0.2">
      <c r="A40" s="12" t="s">
        <v>17</v>
      </c>
      <c r="B40" s="21">
        <v>143239.47999999998</v>
      </c>
      <c r="C40" s="27">
        <v>44697</v>
      </c>
      <c r="D40" s="77">
        <v>44698</v>
      </c>
      <c r="E40" s="21">
        <v>-253269.66000000015</v>
      </c>
      <c r="F40" s="15">
        <v>44825</v>
      </c>
      <c r="G40" s="77">
        <v>44825</v>
      </c>
      <c r="H40" s="21">
        <v>-435600.10999999987</v>
      </c>
      <c r="I40" s="27">
        <v>44886</v>
      </c>
      <c r="J40" s="76">
        <v>44887</v>
      </c>
      <c r="K40" s="21">
        <v>141729.44000000006</v>
      </c>
      <c r="L40" s="16">
        <v>45026</v>
      </c>
      <c r="M40" s="76">
        <v>45026</v>
      </c>
    </row>
    <row r="41" spans="1:13" x14ac:dyDescent="0.2">
      <c r="A41" s="12" t="s">
        <v>18</v>
      </c>
      <c r="B41" s="21">
        <v>38912</v>
      </c>
      <c r="C41" s="27">
        <v>44747</v>
      </c>
      <c r="D41" s="77">
        <v>44748</v>
      </c>
      <c r="E41" s="21">
        <v>-38523</v>
      </c>
      <c r="F41" s="16">
        <v>44805</v>
      </c>
      <c r="G41" s="77">
        <v>44806</v>
      </c>
      <c r="H41" s="21">
        <v>-55805</v>
      </c>
      <c r="I41" s="27">
        <v>44896</v>
      </c>
      <c r="J41" s="77">
        <f>+I41</f>
        <v>44896</v>
      </c>
      <c r="K41" s="21">
        <v>-40937</v>
      </c>
      <c r="L41" s="16">
        <v>44992</v>
      </c>
      <c r="M41" s="77">
        <v>44992</v>
      </c>
    </row>
    <row r="42" spans="1:13" x14ac:dyDescent="0.2">
      <c r="A42" s="11" t="s">
        <v>19</v>
      </c>
      <c r="B42" s="20">
        <v>650236</v>
      </c>
      <c r="C42" s="26">
        <v>44713</v>
      </c>
      <c r="D42" s="77">
        <v>44714</v>
      </c>
      <c r="E42" s="20">
        <v>411184</v>
      </c>
      <c r="F42" s="15">
        <v>44803</v>
      </c>
      <c r="G42" s="76">
        <v>44803</v>
      </c>
      <c r="H42" s="20">
        <v>-717201</v>
      </c>
      <c r="I42" s="26">
        <v>44896</v>
      </c>
      <c r="J42" s="77">
        <f t="shared" ref="J42:J44" si="0">+I42</f>
        <v>44896</v>
      </c>
      <c r="K42" s="20">
        <v>-485124</v>
      </c>
      <c r="L42" s="15">
        <v>45016</v>
      </c>
      <c r="M42" s="76">
        <v>45016</v>
      </c>
    </row>
    <row r="43" spans="1:13" x14ac:dyDescent="0.2">
      <c r="A43" s="13" t="s">
        <v>20</v>
      </c>
      <c r="B43" s="22">
        <v>29725</v>
      </c>
      <c r="C43" s="28">
        <v>44713</v>
      </c>
      <c r="D43" s="77">
        <v>44714</v>
      </c>
      <c r="E43" s="22">
        <v>18797</v>
      </c>
      <c r="F43" s="17">
        <v>44803</v>
      </c>
      <c r="G43" s="76">
        <v>44803</v>
      </c>
      <c r="H43" s="22">
        <v>-32785</v>
      </c>
      <c r="I43" s="28">
        <v>44896</v>
      </c>
      <c r="J43" s="77">
        <f t="shared" si="0"/>
        <v>44896</v>
      </c>
      <c r="K43" s="22">
        <v>-22177</v>
      </c>
      <c r="L43" s="17">
        <v>45016</v>
      </c>
      <c r="M43" s="76">
        <v>45016</v>
      </c>
    </row>
    <row r="44" spans="1:13" x14ac:dyDescent="0.2">
      <c r="A44" s="12" t="s">
        <v>21</v>
      </c>
      <c r="B44" s="21">
        <v>14862</v>
      </c>
      <c r="C44" s="27">
        <v>44713</v>
      </c>
      <c r="D44" s="77">
        <v>44714</v>
      </c>
      <c r="E44" s="21">
        <v>9398</v>
      </c>
      <c r="F44" s="16">
        <v>44803</v>
      </c>
      <c r="G44" s="77">
        <v>44803</v>
      </c>
      <c r="H44" s="21">
        <v>-16393</v>
      </c>
      <c r="I44" s="27">
        <v>44896</v>
      </c>
      <c r="J44" s="77">
        <f t="shared" si="0"/>
        <v>44896</v>
      </c>
      <c r="K44" s="21">
        <v>-11089</v>
      </c>
      <c r="L44" s="16">
        <v>45016</v>
      </c>
      <c r="M44" s="76">
        <v>45016</v>
      </c>
    </row>
    <row r="45" spans="1:13" x14ac:dyDescent="0.2">
      <c r="A45" s="48" t="s">
        <v>44</v>
      </c>
      <c r="B45" s="49">
        <v>-113921</v>
      </c>
      <c r="C45" s="50">
        <v>44747</v>
      </c>
      <c r="D45" s="77">
        <v>44748</v>
      </c>
      <c r="E45" s="49">
        <v>-191611</v>
      </c>
      <c r="F45" s="50">
        <v>44834</v>
      </c>
      <c r="G45" s="80">
        <v>44834</v>
      </c>
      <c r="H45" s="49">
        <v>-221755</v>
      </c>
      <c r="I45" s="50">
        <v>44928</v>
      </c>
      <c r="J45" s="80">
        <v>44928</v>
      </c>
      <c r="K45" s="49">
        <v>269998</v>
      </c>
      <c r="L45" s="52">
        <v>45106</v>
      </c>
      <c r="M45" s="80">
        <v>45106</v>
      </c>
    </row>
    <row r="46" spans="1:13" x14ac:dyDescent="0.2">
      <c r="A46" s="11" t="s">
        <v>36</v>
      </c>
      <c r="B46" s="20">
        <v>29168</v>
      </c>
      <c r="C46" s="26">
        <v>44747</v>
      </c>
      <c r="D46" s="77">
        <v>44748</v>
      </c>
      <c r="E46" s="84">
        <v>-131539</v>
      </c>
      <c r="F46" s="26">
        <v>44834</v>
      </c>
      <c r="G46" s="76">
        <v>44834</v>
      </c>
      <c r="H46" s="20">
        <v>-151054</v>
      </c>
      <c r="I46" s="26">
        <v>44924</v>
      </c>
      <c r="J46" s="76">
        <v>44924</v>
      </c>
      <c r="K46" s="20">
        <v>288449</v>
      </c>
      <c r="L46" s="15">
        <v>45106</v>
      </c>
      <c r="M46" s="80">
        <v>45106</v>
      </c>
    </row>
    <row r="47" spans="1:13" x14ac:dyDescent="0.2">
      <c r="A47" s="54" t="s">
        <v>37</v>
      </c>
      <c r="B47" s="55">
        <v>17502</v>
      </c>
      <c r="C47" s="56">
        <v>44747</v>
      </c>
      <c r="D47" s="77">
        <v>44748</v>
      </c>
      <c r="E47" s="85">
        <v>-78923</v>
      </c>
      <c r="F47" s="56">
        <v>44834</v>
      </c>
      <c r="G47" s="76">
        <v>44834</v>
      </c>
      <c r="H47" s="55">
        <v>-90633</v>
      </c>
      <c r="I47" s="56">
        <v>44924</v>
      </c>
      <c r="J47" s="76">
        <v>44924</v>
      </c>
      <c r="K47" s="55">
        <v>173070</v>
      </c>
      <c r="L47" s="58">
        <v>45106</v>
      </c>
      <c r="M47" s="80">
        <v>45106</v>
      </c>
    </row>
    <row r="48" spans="1:13" x14ac:dyDescent="0.2">
      <c r="A48" s="54" t="s">
        <v>63</v>
      </c>
      <c r="B48" s="44">
        <v>11668</v>
      </c>
      <c r="C48" s="45">
        <v>44747</v>
      </c>
      <c r="D48" s="77">
        <v>44748</v>
      </c>
      <c r="E48" s="85">
        <v>-52614</v>
      </c>
      <c r="F48" s="63">
        <v>44834</v>
      </c>
      <c r="G48" s="76">
        <v>44834</v>
      </c>
      <c r="H48" s="44">
        <v>-60422</v>
      </c>
      <c r="I48" s="45">
        <v>44924</v>
      </c>
      <c r="J48" s="76">
        <v>44924</v>
      </c>
      <c r="K48" s="44">
        <v>115378</v>
      </c>
      <c r="L48" s="46">
        <v>45106</v>
      </c>
      <c r="M48" s="80">
        <v>45106</v>
      </c>
    </row>
    <row r="49" spans="1:13" x14ac:dyDescent="0.2">
      <c r="A49" s="54" t="s">
        <v>64</v>
      </c>
      <c r="B49" s="44">
        <v>2917</v>
      </c>
      <c r="C49" s="45">
        <v>44747</v>
      </c>
      <c r="D49" s="77">
        <v>44748</v>
      </c>
      <c r="E49" s="85">
        <v>-13155</v>
      </c>
      <c r="F49" s="63">
        <v>44834</v>
      </c>
      <c r="G49" s="76">
        <v>44834</v>
      </c>
      <c r="H49" s="44">
        <v>-15105</v>
      </c>
      <c r="I49" s="45">
        <v>44924</v>
      </c>
      <c r="J49" s="47"/>
      <c r="K49" s="44">
        <v>28844</v>
      </c>
      <c r="L49" s="46">
        <v>45106</v>
      </c>
      <c r="M49" s="80">
        <v>45106</v>
      </c>
    </row>
    <row r="50" spans="1:13" x14ac:dyDescent="0.2">
      <c r="A50" s="12" t="s">
        <v>65</v>
      </c>
      <c r="B50" s="21">
        <v>2333</v>
      </c>
      <c r="C50" s="27">
        <v>44747</v>
      </c>
      <c r="D50" s="77">
        <v>44748</v>
      </c>
      <c r="E50" s="24">
        <v>-10522</v>
      </c>
      <c r="F50" s="64">
        <v>44834</v>
      </c>
      <c r="G50" s="76">
        <v>44834</v>
      </c>
      <c r="H50" s="21">
        <v>-12084</v>
      </c>
      <c r="I50" s="27">
        <v>44924</v>
      </c>
      <c r="J50" s="5"/>
      <c r="K50" s="21">
        <v>23075</v>
      </c>
      <c r="L50" s="16">
        <v>45106</v>
      </c>
      <c r="M50" s="80">
        <v>45106</v>
      </c>
    </row>
    <row r="51" spans="1:13" x14ac:dyDescent="0.2">
      <c r="A51" s="11" t="s">
        <v>22</v>
      </c>
      <c r="B51" s="20">
        <v>17321</v>
      </c>
      <c r="C51" s="26">
        <v>44694</v>
      </c>
      <c r="D51" s="76">
        <v>44697</v>
      </c>
      <c r="E51" s="20">
        <v>30187</v>
      </c>
      <c r="F51" s="15">
        <v>44789</v>
      </c>
      <c r="G51" s="76">
        <v>44789</v>
      </c>
      <c r="H51" s="20">
        <v>31893</v>
      </c>
      <c r="I51" s="26">
        <v>44880</v>
      </c>
      <c r="J51" s="76">
        <v>44881</v>
      </c>
      <c r="K51" s="20">
        <v>-292303</v>
      </c>
      <c r="L51" s="15">
        <v>44985</v>
      </c>
      <c r="M51" s="76">
        <v>44985</v>
      </c>
    </row>
    <row r="52" spans="1:13" x14ac:dyDescent="0.2">
      <c r="A52" s="13" t="s">
        <v>23</v>
      </c>
      <c r="B52" s="22">
        <v>8671</v>
      </c>
      <c r="C52" s="28">
        <v>44694</v>
      </c>
      <c r="D52" s="77">
        <v>44697</v>
      </c>
      <c r="E52" s="22">
        <v>15109</v>
      </c>
      <c r="F52" s="17">
        <v>44789</v>
      </c>
      <c r="G52" s="76">
        <v>44789</v>
      </c>
      <c r="H52" s="22">
        <v>15964</v>
      </c>
      <c r="I52" s="28">
        <v>44880</v>
      </c>
      <c r="J52" s="76">
        <v>44881</v>
      </c>
      <c r="K52" s="22">
        <v>-146318</v>
      </c>
      <c r="L52" s="17">
        <v>44985</v>
      </c>
      <c r="M52" s="76">
        <v>44985</v>
      </c>
    </row>
    <row r="53" spans="1:13" x14ac:dyDescent="0.2">
      <c r="A53" s="13" t="s">
        <v>24</v>
      </c>
      <c r="B53" s="22">
        <v>12135</v>
      </c>
      <c r="C53" s="28">
        <v>44694</v>
      </c>
      <c r="D53" s="76">
        <v>44697</v>
      </c>
      <c r="E53" s="22">
        <v>21147</v>
      </c>
      <c r="F53" s="17">
        <v>44789</v>
      </c>
      <c r="G53" s="76">
        <v>44789</v>
      </c>
      <c r="H53" s="22">
        <v>22345</v>
      </c>
      <c r="I53" s="28">
        <v>44880</v>
      </c>
      <c r="J53" s="76">
        <v>44881</v>
      </c>
      <c r="K53" s="22">
        <v>-204779</v>
      </c>
      <c r="L53" s="17">
        <v>44985</v>
      </c>
      <c r="M53" s="76">
        <v>44985</v>
      </c>
    </row>
    <row r="54" spans="1:13" x14ac:dyDescent="0.2">
      <c r="A54" s="12" t="s">
        <v>25</v>
      </c>
      <c r="B54" s="21">
        <v>13856</v>
      </c>
      <c r="C54" s="27">
        <v>44694</v>
      </c>
      <c r="D54" s="77">
        <v>44697</v>
      </c>
      <c r="E54" s="21">
        <v>24150</v>
      </c>
      <c r="F54" s="16">
        <v>44789</v>
      </c>
      <c r="G54" s="77">
        <v>44789</v>
      </c>
      <c r="H54" s="21">
        <v>25515</v>
      </c>
      <c r="I54" s="27">
        <v>44880</v>
      </c>
      <c r="J54" s="76">
        <v>44881</v>
      </c>
      <c r="K54" s="21">
        <v>-233842</v>
      </c>
      <c r="L54" s="16">
        <v>44985</v>
      </c>
      <c r="M54" s="76">
        <v>44985</v>
      </c>
    </row>
    <row r="55" spans="1:13" x14ac:dyDescent="0.2">
      <c r="A55" s="11" t="s">
        <v>26</v>
      </c>
      <c r="B55" s="20">
        <v>70449.290000000037</v>
      </c>
      <c r="C55" s="26">
        <v>44706</v>
      </c>
      <c r="D55" s="76">
        <v>44707</v>
      </c>
      <c r="E55" s="20">
        <v>-24921.090000000317</v>
      </c>
      <c r="F55" s="26">
        <v>44795</v>
      </c>
      <c r="G55" s="76">
        <v>44795</v>
      </c>
      <c r="H55" s="20">
        <v>33735.620000000112</v>
      </c>
      <c r="I55" s="26">
        <v>44887</v>
      </c>
      <c r="J55" s="76">
        <v>44888</v>
      </c>
      <c r="K55" s="20">
        <v>33532.200000000186</v>
      </c>
      <c r="L55" s="15">
        <v>45000</v>
      </c>
      <c r="M55" s="76">
        <v>45000</v>
      </c>
    </row>
    <row r="56" spans="1:13" x14ac:dyDescent="0.2">
      <c r="A56" s="13" t="s">
        <v>27</v>
      </c>
      <c r="B56" s="22">
        <v>38526.959999999963</v>
      </c>
      <c r="C56" s="28">
        <v>44706</v>
      </c>
      <c r="D56" s="76">
        <v>44707</v>
      </c>
      <c r="E56" s="22">
        <v>-13628.840000000084</v>
      </c>
      <c r="F56" s="28">
        <v>44795</v>
      </c>
      <c r="G56" s="76">
        <v>44795</v>
      </c>
      <c r="H56" s="22">
        <v>18449.169999999925</v>
      </c>
      <c r="I56" s="28">
        <v>44887</v>
      </c>
      <c r="J56" s="76">
        <v>44888</v>
      </c>
      <c r="K56" s="22">
        <v>18337.930000000168</v>
      </c>
      <c r="L56" s="17">
        <v>45000</v>
      </c>
      <c r="M56" s="76">
        <v>45000</v>
      </c>
    </row>
    <row r="57" spans="1:13" x14ac:dyDescent="0.2">
      <c r="A57" s="13" t="s">
        <v>28</v>
      </c>
      <c r="B57" s="22">
        <v>27519.270000000019</v>
      </c>
      <c r="C57" s="28">
        <v>44706</v>
      </c>
      <c r="D57" s="76">
        <v>44707</v>
      </c>
      <c r="E57" s="22">
        <v>-9734.8700000001118</v>
      </c>
      <c r="F57" s="28">
        <v>44795</v>
      </c>
      <c r="G57" s="76">
        <v>44795</v>
      </c>
      <c r="H57" s="22">
        <v>13177.979999999981</v>
      </c>
      <c r="I57" s="28">
        <v>44887</v>
      </c>
      <c r="J57" s="76">
        <v>44888</v>
      </c>
      <c r="K57" s="22">
        <v>13098.530000000028</v>
      </c>
      <c r="L57" s="17">
        <v>45000</v>
      </c>
      <c r="M57" s="76">
        <v>45000</v>
      </c>
    </row>
    <row r="58" spans="1:13" x14ac:dyDescent="0.2">
      <c r="A58" s="13" t="s">
        <v>29</v>
      </c>
      <c r="B58" s="22">
        <v>5503.8400000000256</v>
      </c>
      <c r="C58" s="28">
        <v>44706</v>
      </c>
      <c r="D58" s="76">
        <v>44707</v>
      </c>
      <c r="E58" s="22">
        <v>-1946.9799999999814</v>
      </c>
      <c r="F58" s="28">
        <v>44795</v>
      </c>
      <c r="G58" s="76">
        <v>44795</v>
      </c>
      <c r="H58" s="22">
        <v>2635.609999999986</v>
      </c>
      <c r="I58" s="28">
        <v>44887</v>
      </c>
      <c r="J58" s="76">
        <v>44888</v>
      </c>
      <c r="K58" s="22">
        <v>2619.710000000021</v>
      </c>
      <c r="L58" s="17">
        <v>45000</v>
      </c>
      <c r="M58" s="76">
        <v>45000</v>
      </c>
    </row>
    <row r="59" spans="1:13" x14ac:dyDescent="0.2">
      <c r="A59" s="13" t="s">
        <v>30</v>
      </c>
      <c r="B59" s="22">
        <v>5503.8400000000256</v>
      </c>
      <c r="C59" s="28">
        <v>44706</v>
      </c>
      <c r="D59" s="76">
        <v>44707</v>
      </c>
      <c r="E59" s="22">
        <v>-1946.9799999999814</v>
      </c>
      <c r="F59" s="28">
        <v>44795</v>
      </c>
      <c r="G59" s="76">
        <v>44795</v>
      </c>
      <c r="H59" s="22">
        <v>2635.609999999986</v>
      </c>
      <c r="I59" s="28">
        <v>44887</v>
      </c>
      <c r="J59" s="76">
        <v>44888</v>
      </c>
      <c r="K59" s="22">
        <v>2619.710000000021</v>
      </c>
      <c r="L59" s="17">
        <v>45000</v>
      </c>
      <c r="M59" s="76">
        <v>45000</v>
      </c>
    </row>
    <row r="60" spans="1:13" x14ac:dyDescent="0.2">
      <c r="A60" s="13" t="s">
        <v>31</v>
      </c>
      <c r="B60" s="22">
        <v>22015.419999999925</v>
      </c>
      <c r="C60" s="28">
        <v>44706</v>
      </c>
      <c r="D60" s="76">
        <v>44707</v>
      </c>
      <c r="E60" s="22">
        <v>-7787.9099999999162</v>
      </c>
      <c r="F60" s="28">
        <v>44795</v>
      </c>
      <c r="G60" s="76">
        <v>44795</v>
      </c>
      <c r="H60" s="22">
        <v>10542.379999999888</v>
      </c>
      <c r="I60" s="28">
        <v>44887</v>
      </c>
      <c r="J60" s="76">
        <v>44888</v>
      </c>
      <c r="K60" s="22">
        <v>10478.810000000056</v>
      </c>
      <c r="L60" s="17">
        <v>45000</v>
      </c>
      <c r="M60" s="76">
        <v>45000</v>
      </c>
    </row>
    <row r="61" spans="1:13" x14ac:dyDescent="0.2">
      <c r="A61" s="12" t="s">
        <v>32</v>
      </c>
      <c r="B61" s="21">
        <v>9906.9399999999441</v>
      </c>
      <c r="C61" s="27">
        <v>44706</v>
      </c>
      <c r="D61" s="76">
        <v>44707</v>
      </c>
      <c r="E61" s="21">
        <v>-3504.5500000000466</v>
      </c>
      <c r="F61" s="27">
        <v>44795</v>
      </c>
      <c r="G61" s="77">
        <v>44795</v>
      </c>
      <c r="H61" s="21">
        <v>4744.0700000000652</v>
      </c>
      <c r="I61" s="27">
        <v>44887</v>
      </c>
      <c r="J61" s="76">
        <v>44888</v>
      </c>
      <c r="K61" s="21">
        <v>4715.4699999999721</v>
      </c>
      <c r="L61" s="16">
        <v>45000</v>
      </c>
      <c r="M61" s="76">
        <v>45000</v>
      </c>
    </row>
    <row r="62" spans="1:13" x14ac:dyDescent="0.2">
      <c r="A62" s="11" t="s">
        <v>33</v>
      </c>
      <c r="B62" s="20">
        <v>226070.58999999985</v>
      </c>
      <c r="C62" s="29">
        <v>44669</v>
      </c>
      <c r="D62" s="76">
        <v>44670</v>
      </c>
      <c r="E62" s="20">
        <v>180019.77000000048</v>
      </c>
      <c r="F62" s="15">
        <v>44757</v>
      </c>
      <c r="G62" s="76">
        <v>44757</v>
      </c>
      <c r="H62" s="20">
        <v>110772.04999999888</v>
      </c>
      <c r="I62" s="26">
        <v>44852</v>
      </c>
      <c r="J62" s="76">
        <v>44853</v>
      </c>
      <c r="K62" s="20">
        <v>-289552.84999999963</v>
      </c>
      <c r="L62" s="15">
        <v>44944</v>
      </c>
      <c r="M62" s="76">
        <v>44944</v>
      </c>
    </row>
    <row r="63" spans="1:13" x14ac:dyDescent="0.2">
      <c r="A63" s="13" t="s">
        <v>34</v>
      </c>
      <c r="B63" s="22">
        <v>37678.410000000033</v>
      </c>
      <c r="C63" s="26">
        <v>44669</v>
      </c>
      <c r="D63" s="76">
        <v>44670</v>
      </c>
      <c r="E63" s="22">
        <v>30003.299999999814</v>
      </c>
      <c r="F63" s="17">
        <v>44757</v>
      </c>
      <c r="G63" s="76">
        <v>44757</v>
      </c>
      <c r="H63" s="22">
        <v>18462</v>
      </c>
      <c r="I63" s="28">
        <v>44852</v>
      </c>
      <c r="J63" s="76">
        <v>44853</v>
      </c>
      <c r="K63" s="22">
        <v>-48258.800000000047</v>
      </c>
      <c r="L63" s="17">
        <v>44944</v>
      </c>
      <c r="M63" s="76">
        <v>44944</v>
      </c>
    </row>
    <row r="64" spans="1:13" x14ac:dyDescent="0.2">
      <c r="A64" s="12" t="s">
        <v>35</v>
      </c>
      <c r="B64" s="21">
        <v>37678.410000000033</v>
      </c>
      <c r="C64" s="30">
        <v>44669</v>
      </c>
      <c r="D64" s="77">
        <v>44670</v>
      </c>
      <c r="E64" s="21">
        <v>30003.299999999814</v>
      </c>
      <c r="F64" s="16">
        <v>44757</v>
      </c>
      <c r="G64" s="77">
        <v>44757</v>
      </c>
      <c r="H64" s="21">
        <v>18462</v>
      </c>
      <c r="I64" s="27">
        <v>44852</v>
      </c>
      <c r="J64" s="76">
        <v>44853</v>
      </c>
      <c r="K64" s="21">
        <v>-48258.800000000047</v>
      </c>
      <c r="L64" s="16">
        <v>44944</v>
      </c>
      <c r="M64" s="76">
        <v>44944</v>
      </c>
    </row>
    <row r="65" spans="1:17" x14ac:dyDescent="0.2">
      <c r="A65" s="11" t="s">
        <v>45</v>
      </c>
      <c r="B65" s="20">
        <v>-4975</v>
      </c>
      <c r="C65" s="26">
        <v>44713</v>
      </c>
      <c r="D65" s="77">
        <v>44714</v>
      </c>
      <c r="E65" s="20">
        <v>-18915</v>
      </c>
      <c r="F65" s="15">
        <v>44805</v>
      </c>
      <c r="G65" s="76">
        <v>44806</v>
      </c>
      <c r="H65" s="20">
        <v>17227</v>
      </c>
      <c r="I65" s="26">
        <v>44895</v>
      </c>
      <c r="J65" s="76">
        <v>44895</v>
      </c>
      <c r="K65" s="20">
        <v>21276</v>
      </c>
      <c r="L65" s="15">
        <v>45016</v>
      </c>
      <c r="M65" s="76">
        <v>45016</v>
      </c>
    </row>
    <row r="66" spans="1:17" x14ac:dyDescent="0.2">
      <c r="A66" s="13" t="s">
        <v>46</v>
      </c>
      <c r="B66" s="22">
        <v>-2488</v>
      </c>
      <c r="C66" s="28">
        <v>44713</v>
      </c>
      <c r="D66" s="77">
        <v>44714</v>
      </c>
      <c r="E66" s="22">
        <v>-9458</v>
      </c>
      <c r="F66" s="17">
        <v>44805</v>
      </c>
      <c r="G66" s="76">
        <v>44806</v>
      </c>
      <c r="H66" s="22">
        <v>8614</v>
      </c>
      <c r="I66" s="17">
        <v>44895</v>
      </c>
      <c r="J66" s="76">
        <v>44895</v>
      </c>
      <c r="K66" s="22">
        <v>10637</v>
      </c>
      <c r="L66" s="17">
        <v>45016</v>
      </c>
      <c r="M66" s="76">
        <v>45016</v>
      </c>
    </row>
    <row r="67" spans="1:17" x14ac:dyDescent="0.2">
      <c r="A67" s="13" t="s">
        <v>47</v>
      </c>
      <c r="B67" s="22">
        <v>-9949</v>
      </c>
      <c r="C67" s="28">
        <v>44713</v>
      </c>
      <c r="D67" s="77">
        <v>44714</v>
      </c>
      <c r="E67" s="22">
        <v>-37831</v>
      </c>
      <c r="F67" s="17">
        <v>44805</v>
      </c>
      <c r="G67" s="76">
        <v>44806</v>
      </c>
      <c r="H67" s="22">
        <v>34457</v>
      </c>
      <c r="I67" s="17">
        <v>44895</v>
      </c>
      <c r="J67" s="76">
        <v>44895</v>
      </c>
      <c r="K67" s="22">
        <v>42549</v>
      </c>
      <c r="L67" s="17">
        <v>45016</v>
      </c>
      <c r="M67" s="76">
        <v>45016</v>
      </c>
    </row>
    <row r="68" spans="1:17" x14ac:dyDescent="0.2">
      <c r="A68" s="13" t="s">
        <v>48</v>
      </c>
      <c r="B68" s="22">
        <v>-7463</v>
      </c>
      <c r="C68" s="28">
        <v>44713</v>
      </c>
      <c r="D68" s="77">
        <v>44714</v>
      </c>
      <c r="E68" s="22">
        <v>-28373</v>
      </c>
      <c r="F68" s="17">
        <v>44805</v>
      </c>
      <c r="G68" s="76">
        <v>44806</v>
      </c>
      <c r="H68" s="22">
        <v>25843</v>
      </c>
      <c r="I68" s="17">
        <v>44895</v>
      </c>
      <c r="J68" s="76">
        <v>44895</v>
      </c>
      <c r="K68" s="22">
        <v>31912</v>
      </c>
      <c r="L68" s="17">
        <v>45016</v>
      </c>
      <c r="M68" s="76">
        <v>45016</v>
      </c>
    </row>
    <row r="69" spans="1:17" x14ac:dyDescent="0.2">
      <c r="A69" s="13" t="s">
        <v>49</v>
      </c>
      <c r="B69" s="22">
        <v>-1866</v>
      </c>
      <c r="C69" s="28">
        <v>44713</v>
      </c>
      <c r="D69" s="77">
        <v>44714</v>
      </c>
      <c r="E69" s="22">
        <v>-7094</v>
      </c>
      <c r="F69" s="17">
        <v>44805</v>
      </c>
      <c r="G69" s="76">
        <v>44806</v>
      </c>
      <c r="H69" s="22">
        <v>6461</v>
      </c>
      <c r="I69" s="17">
        <v>44895</v>
      </c>
      <c r="J69" s="76">
        <v>44895</v>
      </c>
      <c r="K69" s="22">
        <v>7978</v>
      </c>
      <c r="L69" s="17">
        <v>45016</v>
      </c>
      <c r="M69" s="76">
        <v>45016</v>
      </c>
    </row>
    <row r="70" spans="1:17" x14ac:dyDescent="0.2">
      <c r="A70" s="12" t="s">
        <v>50</v>
      </c>
      <c r="B70" s="21">
        <v>-2488</v>
      </c>
      <c r="C70" s="27">
        <v>44713</v>
      </c>
      <c r="D70" s="77">
        <v>44714</v>
      </c>
      <c r="E70" s="21">
        <v>-9458</v>
      </c>
      <c r="F70" s="16">
        <v>44805</v>
      </c>
      <c r="G70" s="76">
        <v>44806</v>
      </c>
      <c r="H70" s="21">
        <v>8614</v>
      </c>
      <c r="I70" s="16">
        <v>44895</v>
      </c>
      <c r="J70" s="76">
        <v>44895</v>
      </c>
      <c r="K70" s="21">
        <v>10637</v>
      </c>
      <c r="L70" s="16">
        <v>45016</v>
      </c>
      <c r="M70" s="76">
        <v>45016</v>
      </c>
    </row>
    <row r="71" spans="1:17" x14ac:dyDescent="0.2">
      <c r="A71" s="11" t="s">
        <v>62</v>
      </c>
      <c r="B71" s="20">
        <v>1177</v>
      </c>
      <c r="C71" s="26">
        <v>44713</v>
      </c>
      <c r="D71" s="77">
        <v>44714</v>
      </c>
      <c r="E71" s="20">
        <v>-4779</v>
      </c>
      <c r="F71" s="15">
        <v>44805</v>
      </c>
      <c r="G71" s="76">
        <v>44806</v>
      </c>
      <c r="H71" s="20">
        <v>-4010</v>
      </c>
      <c r="I71" s="15">
        <v>44895</v>
      </c>
      <c r="J71" s="76">
        <v>44895</v>
      </c>
      <c r="K71" s="20">
        <v>-232</v>
      </c>
      <c r="L71" s="15">
        <v>45016</v>
      </c>
      <c r="M71" s="76">
        <v>45016</v>
      </c>
    </row>
    <row r="72" spans="1:17" x14ac:dyDescent="0.2">
      <c r="A72" s="13" t="s">
        <v>51</v>
      </c>
      <c r="B72" s="22">
        <v>7059</v>
      </c>
      <c r="C72" s="28">
        <v>44713</v>
      </c>
      <c r="D72" s="77">
        <v>44714</v>
      </c>
      <c r="E72" s="22">
        <v>-28681</v>
      </c>
      <c r="F72" s="17">
        <v>44805</v>
      </c>
      <c r="G72" s="76">
        <v>44806</v>
      </c>
      <c r="H72" s="22">
        <v>-24059</v>
      </c>
      <c r="I72" s="17">
        <v>44895</v>
      </c>
      <c r="J72" s="76">
        <v>44895</v>
      </c>
      <c r="K72" s="22">
        <v>-1395</v>
      </c>
      <c r="L72" s="17">
        <v>45016</v>
      </c>
      <c r="M72" s="76">
        <v>45016</v>
      </c>
    </row>
    <row r="73" spans="1:17" x14ac:dyDescent="0.2">
      <c r="A73" s="13" t="s">
        <v>52</v>
      </c>
      <c r="B73" s="22">
        <v>1177</v>
      </c>
      <c r="C73" s="28">
        <v>44713</v>
      </c>
      <c r="D73" s="77">
        <v>44714</v>
      </c>
      <c r="E73" s="22">
        <v>-4779</v>
      </c>
      <c r="F73" s="17">
        <v>44805</v>
      </c>
      <c r="G73" s="76">
        <v>44806</v>
      </c>
      <c r="H73" s="22">
        <v>-4010</v>
      </c>
      <c r="I73" s="17">
        <v>44895</v>
      </c>
      <c r="J73" s="76">
        <v>44895</v>
      </c>
      <c r="K73" s="22">
        <v>-232</v>
      </c>
      <c r="L73" s="17">
        <v>45016</v>
      </c>
      <c r="M73" s="76">
        <v>45016</v>
      </c>
    </row>
    <row r="74" spans="1:17" x14ac:dyDescent="0.2">
      <c r="A74" s="12" t="s">
        <v>53</v>
      </c>
      <c r="B74" s="24">
        <v>2352</v>
      </c>
      <c r="C74" s="27">
        <v>44713</v>
      </c>
      <c r="D74" s="77">
        <v>44714</v>
      </c>
      <c r="E74" s="24">
        <v>-9560</v>
      </c>
      <c r="F74" s="16">
        <v>44805</v>
      </c>
      <c r="G74" s="77">
        <v>44806</v>
      </c>
      <c r="H74" s="24">
        <v>-8019</v>
      </c>
      <c r="I74" s="16">
        <v>44895</v>
      </c>
      <c r="J74" s="76">
        <v>44895</v>
      </c>
      <c r="K74" s="24">
        <v>-466</v>
      </c>
      <c r="L74" s="16">
        <v>45016</v>
      </c>
      <c r="M74" s="76">
        <v>45016</v>
      </c>
    </row>
    <row r="75" spans="1:17" x14ac:dyDescent="0.2">
      <c r="A75" s="11" t="s">
        <v>83</v>
      </c>
      <c r="B75" s="20"/>
      <c r="C75" s="28"/>
      <c r="D75" s="20"/>
      <c r="E75" s="22">
        <v>368011</v>
      </c>
      <c r="F75" s="26">
        <v>44865</v>
      </c>
      <c r="G75" s="87">
        <v>44865</v>
      </c>
      <c r="H75" s="90">
        <v>-104518</v>
      </c>
      <c r="I75" s="26">
        <v>44959</v>
      </c>
      <c r="J75" s="4"/>
      <c r="K75" s="20">
        <v>87566</v>
      </c>
      <c r="L75" s="26">
        <v>45056</v>
      </c>
      <c r="M75" s="4"/>
      <c r="O75" s="2"/>
      <c r="P75" s="23"/>
      <c r="Q75" s="2"/>
    </row>
    <row r="76" spans="1:17" x14ac:dyDescent="0.2">
      <c r="A76" s="11" t="s">
        <v>84</v>
      </c>
      <c r="B76" s="20">
        <v>26621</v>
      </c>
      <c r="C76" s="28">
        <v>44771</v>
      </c>
      <c r="D76" s="77">
        <v>44771</v>
      </c>
      <c r="E76" s="22">
        <v>313080</v>
      </c>
      <c r="F76" s="28">
        <v>44865</v>
      </c>
      <c r="G76" s="88">
        <v>44865</v>
      </c>
      <c r="H76" s="22">
        <v>-96478</v>
      </c>
      <c r="I76" s="28">
        <v>44959</v>
      </c>
      <c r="J76" s="76">
        <v>44960</v>
      </c>
      <c r="K76" s="22">
        <v>80833</v>
      </c>
      <c r="L76" s="28">
        <v>45056</v>
      </c>
      <c r="M76" s="3">
        <v>45057</v>
      </c>
      <c r="O76" s="2"/>
      <c r="P76" s="23"/>
      <c r="Q76" s="2"/>
    </row>
    <row r="77" spans="1:17" x14ac:dyDescent="0.2">
      <c r="A77" s="11" t="s">
        <v>85</v>
      </c>
      <c r="B77" s="20">
        <v>159730</v>
      </c>
      <c r="C77" s="82">
        <v>44771</v>
      </c>
      <c r="D77" s="77">
        <v>44771</v>
      </c>
      <c r="E77" s="22">
        <v>1878480</v>
      </c>
      <c r="F77" s="28">
        <v>44865</v>
      </c>
      <c r="G77" s="88">
        <v>44865</v>
      </c>
      <c r="H77" s="22">
        <v>-578867</v>
      </c>
      <c r="I77" s="28">
        <v>44959</v>
      </c>
      <c r="J77" s="76">
        <v>44960</v>
      </c>
      <c r="K77" s="22">
        <v>484989</v>
      </c>
      <c r="L77" s="28">
        <v>45056</v>
      </c>
      <c r="M77" s="3">
        <v>45057</v>
      </c>
      <c r="O77" s="2"/>
      <c r="P77" s="23"/>
      <c r="Q77" s="2"/>
    </row>
    <row r="78" spans="1:17" x14ac:dyDescent="0.2">
      <c r="A78" s="11" t="s">
        <v>86</v>
      </c>
      <c r="B78" s="20">
        <v>297276</v>
      </c>
      <c r="C78" s="82">
        <v>44771</v>
      </c>
      <c r="D78" s="77">
        <v>44771</v>
      </c>
      <c r="E78" s="22">
        <v>3496060</v>
      </c>
      <c r="F78" s="28">
        <v>44865</v>
      </c>
      <c r="G78" s="88">
        <v>44865</v>
      </c>
      <c r="H78" s="22">
        <v>-1077336</v>
      </c>
      <c r="I78" s="28">
        <v>44959</v>
      </c>
      <c r="J78" s="76">
        <v>44960</v>
      </c>
      <c r="K78" s="22">
        <v>902619</v>
      </c>
      <c r="L78" s="28">
        <v>45056</v>
      </c>
      <c r="M78" s="3">
        <v>45057</v>
      </c>
      <c r="O78" s="2"/>
      <c r="P78" s="23"/>
      <c r="Q78" s="2"/>
    </row>
    <row r="79" spans="1:17" x14ac:dyDescent="0.2">
      <c r="A79" s="11" t="s">
        <v>87</v>
      </c>
      <c r="B79" s="20">
        <v>61230</v>
      </c>
      <c r="C79" s="82">
        <v>44771</v>
      </c>
      <c r="D79" s="77">
        <v>44771</v>
      </c>
      <c r="E79" s="22">
        <v>720085</v>
      </c>
      <c r="F79" s="28">
        <v>44865</v>
      </c>
      <c r="G79" s="88">
        <v>44865</v>
      </c>
      <c r="H79" s="22">
        <v>-221901</v>
      </c>
      <c r="I79" s="28">
        <v>44959</v>
      </c>
      <c r="J79" s="76">
        <v>44960</v>
      </c>
      <c r="K79" s="22">
        <v>185912</v>
      </c>
      <c r="L79" s="28">
        <v>45056</v>
      </c>
      <c r="M79" s="3">
        <v>45057</v>
      </c>
      <c r="O79" s="2"/>
      <c r="P79" s="23"/>
      <c r="Q79" s="2"/>
    </row>
    <row r="80" spans="1:17" x14ac:dyDescent="0.2">
      <c r="A80" s="11" t="s">
        <v>88</v>
      </c>
      <c r="B80" s="20">
        <v>24403</v>
      </c>
      <c r="C80" s="82">
        <v>44771</v>
      </c>
      <c r="D80" s="77">
        <v>44771</v>
      </c>
      <c r="E80" s="22">
        <v>286991</v>
      </c>
      <c r="F80" s="28">
        <v>44865</v>
      </c>
      <c r="G80" s="88">
        <v>44865</v>
      </c>
      <c r="H80" s="22">
        <v>-88439</v>
      </c>
      <c r="I80" s="28">
        <v>44959</v>
      </c>
      <c r="J80" s="76">
        <v>44960</v>
      </c>
      <c r="K80" s="22">
        <v>74097</v>
      </c>
      <c r="L80" s="28">
        <v>45056</v>
      </c>
      <c r="M80" s="3">
        <v>45057</v>
      </c>
      <c r="O80" s="2"/>
      <c r="P80" s="23"/>
      <c r="Q80" s="2"/>
    </row>
    <row r="81" spans="1:17" x14ac:dyDescent="0.2">
      <c r="A81" s="11" t="s">
        <v>89</v>
      </c>
      <c r="B81" s="20">
        <v>9761</v>
      </c>
      <c r="C81" s="82">
        <v>44771</v>
      </c>
      <c r="D81" s="77">
        <v>44771</v>
      </c>
      <c r="E81" s="22">
        <v>114796</v>
      </c>
      <c r="F81" s="28">
        <v>44865</v>
      </c>
      <c r="G81" s="88">
        <v>44865</v>
      </c>
      <c r="H81" s="22">
        <v>-35376</v>
      </c>
      <c r="I81" s="28">
        <v>44959</v>
      </c>
      <c r="J81" s="76">
        <v>44960</v>
      </c>
      <c r="K81" s="22">
        <v>29639</v>
      </c>
      <c r="L81" s="28">
        <v>45056</v>
      </c>
      <c r="M81" s="3">
        <v>45057</v>
      </c>
      <c r="O81" s="2"/>
      <c r="P81" s="23"/>
      <c r="Q81" s="2"/>
    </row>
    <row r="82" spans="1:17" x14ac:dyDescent="0.2">
      <c r="A82" s="11" t="s">
        <v>90</v>
      </c>
      <c r="B82" s="20">
        <v>1331</v>
      </c>
      <c r="C82" s="82">
        <v>44771</v>
      </c>
      <c r="D82" s="77">
        <v>44771</v>
      </c>
      <c r="E82" s="22">
        <v>15653</v>
      </c>
      <c r="F82" s="28">
        <v>44865</v>
      </c>
      <c r="G82" s="88">
        <v>44865</v>
      </c>
      <c r="H82" s="22">
        <v>-4824</v>
      </c>
      <c r="I82" s="28">
        <v>44959</v>
      </c>
      <c r="J82" s="76">
        <v>44960</v>
      </c>
      <c r="K82" s="22">
        <v>4042</v>
      </c>
      <c r="L82" s="28">
        <v>45056</v>
      </c>
      <c r="M82" s="3">
        <v>45057</v>
      </c>
      <c r="O82" s="2"/>
      <c r="P82" s="23"/>
      <c r="Q82" s="2"/>
    </row>
    <row r="83" spans="1:17" x14ac:dyDescent="0.2">
      <c r="A83" s="12" t="s">
        <v>91</v>
      </c>
      <c r="B83" s="21">
        <v>3105</v>
      </c>
      <c r="C83" s="83">
        <v>44771</v>
      </c>
      <c r="D83" s="77">
        <v>44771</v>
      </c>
      <c r="E83" s="24">
        <v>36525</v>
      </c>
      <c r="F83" s="27">
        <v>44865</v>
      </c>
      <c r="G83" s="89">
        <v>44865</v>
      </c>
      <c r="H83" s="21">
        <v>-11255</v>
      </c>
      <c r="I83" s="27">
        <v>44959</v>
      </c>
      <c r="J83" s="76">
        <v>44960</v>
      </c>
      <c r="K83" s="21">
        <v>9430</v>
      </c>
      <c r="L83" s="27">
        <v>45056</v>
      </c>
      <c r="M83" s="3">
        <v>45057</v>
      </c>
      <c r="O83" s="2"/>
      <c r="P83" s="23"/>
      <c r="Q83" s="2"/>
    </row>
    <row r="84" spans="1:17" x14ac:dyDescent="0.2">
      <c r="A84" s="11" t="s">
        <v>92</v>
      </c>
      <c r="B84" s="20" t="s">
        <v>96</v>
      </c>
      <c r="C84" s="20" t="s">
        <v>96</v>
      </c>
      <c r="D84" s="20" t="s">
        <v>96</v>
      </c>
      <c r="E84" s="20">
        <v>291280</v>
      </c>
      <c r="F84" s="26">
        <v>44865</v>
      </c>
      <c r="G84" s="76">
        <v>44865</v>
      </c>
      <c r="H84" s="91">
        <v>2260</v>
      </c>
      <c r="I84" s="26">
        <v>44959</v>
      </c>
      <c r="J84" s="76">
        <v>44960</v>
      </c>
      <c r="K84" s="20">
        <v>510241</v>
      </c>
      <c r="L84" s="26">
        <v>45056</v>
      </c>
      <c r="M84" s="3">
        <v>45057</v>
      </c>
      <c r="O84" s="2"/>
      <c r="P84" s="23"/>
      <c r="Q84" s="2"/>
    </row>
    <row r="85" spans="1:17" x14ac:dyDescent="0.2">
      <c r="A85" s="11" t="s">
        <v>93</v>
      </c>
      <c r="B85" s="20" t="s">
        <v>96</v>
      </c>
      <c r="C85" s="20" t="s">
        <v>96</v>
      </c>
      <c r="D85" s="20" t="s">
        <v>96</v>
      </c>
      <c r="E85" s="22">
        <v>187922</v>
      </c>
      <c r="F85" s="28">
        <v>44865</v>
      </c>
      <c r="G85" s="86">
        <v>44865</v>
      </c>
      <c r="H85" s="92">
        <v>1458</v>
      </c>
      <c r="I85" s="28">
        <v>44959</v>
      </c>
      <c r="J85" s="76">
        <v>44960</v>
      </c>
      <c r="K85" s="22">
        <v>329187</v>
      </c>
      <c r="L85" s="28">
        <v>45056</v>
      </c>
      <c r="M85" s="3">
        <v>45057</v>
      </c>
      <c r="O85" s="2"/>
      <c r="P85" s="23"/>
      <c r="Q85" s="2"/>
    </row>
    <row r="86" spans="1:17" x14ac:dyDescent="0.2">
      <c r="A86" s="11" t="s">
        <v>94</v>
      </c>
      <c r="B86" s="20" t="s">
        <v>96</v>
      </c>
      <c r="C86" s="20" t="s">
        <v>96</v>
      </c>
      <c r="D86" s="20" t="s">
        <v>96</v>
      </c>
      <c r="E86" s="22">
        <v>93963</v>
      </c>
      <c r="F86" s="28">
        <v>44865</v>
      </c>
      <c r="G86" s="86">
        <v>44865</v>
      </c>
      <c r="H86" s="92">
        <v>726</v>
      </c>
      <c r="I86" s="28">
        <v>44959</v>
      </c>
      <c r="J86" s="76">
        <v>44960</v>
      </c>
      <c r="K86" s="22">
        <v>164595</v>
      </c>
      <c r="L86" s="28">
        <v>45056</v>
      </c>
      <c r="M86" s="3">
        <v>45057</v>
      </c>
      <c r="O86" s="2"/>
      <c r="P86" s="23"/>
      <c r="Q86" s="2"/>
    </row>
    <row r="87" spans="1:17" x14ac:dyDescent="0.2">
      <c r="A87" s="12" t="s">
        <v>95</v>
      </c>
      <c r="B87" s="20" t="s">
        <v>96</v>
      </c>
      <c r="C87" s="20" t="s">
        <v>96</v>
      </c>
      <c r="D87" s="20" t="s">
        <v>96</v>
      </c>
      <c r="E87" s="22">
        <v>9396</v>
      </c>
      <c r="F87" s="27">
        <v>44865</v>
      </c>
      <c r="G87" s="77">
        <v>44865</v>
      </c>
      <c r="H87" s="93">
        <v>72</v>
      </c>
      <c r="I87" s="27">
        <v>44959</v>
      </c>
      <c r="J87" s="76">
        <v>44960</v>
      </c>
      <c r="K87" s="21">
        <v>16460</v>
      </c>
      <c r="L87" s="27">
        <v>45056</v>
      </c>
      <c r="M87" s="3">
        <v>45057</v>
      </c>
      <c r="O87" s="2"/>
      <c r="P87" s="23"/>
      <c r="Q87" s="2"/>
    </row>
    <row r="88" spans="1:17" ht="10.5" customHeight="1" x14ac:dyDescent="0.2">
      <c r="A88" s="7" t="s">
        <v>3</v>
      </c>
      <c r="B88" s="224"/>
      <c r="C88" s="225"/>
      <c r="D88" s="226"/>
      <c r="E88" s="213"/>
      <c r="F88" s="214"/>
      <c r="G88" s="214"/>
      <c r="H88" s="213"/>
      <c r="I88" s="214"/>
      <c r="J88" s="214"/>
      <c r="K88" s="213"/>
      <c r="L88" s="214"/>
      <c r="M88" s="214"/>
    </row>
    <row r="89" spans="1:17" ht="10.5" customHeight="1" thickBot="1" x14ac:dyDescent="0.25">
      <c r="A89" s="8" t="s">
        <v>4</v>
      </c>
      <c r="B89" s="224"/>
      <c r="C89" s="225"/>
      <c r="D89" s="226"/>
      <c r="E89" s="213"/>
      <c r="F89" s="214"/>
      <c r="G89" s="214"/>
      <c r="H89" s="213"/>
      <c r="I89" s="214"/>
      <c r="J89" s="214"/>
      <c r="K89" s="213"/>
      <c r="L89" s="214"/>
      <c r="M89" s="214"/>
    </row>
  </sheetData>
  <mergeCells count="14">
    <mergeCell ref="A1:A3"/>
    <mergeCell ref="B1:M3"/>
    <mergeCell ref="B4:D4"/>
    <mergeCell ref="E4:G4"/>
    <mergeCell ref="H4:J4"/>
    <mergeCell ref="K4:M4"/>
    <mergeCell ref="B88:D88"/>
    <mergeCell ref="E88:G88"/>
    <mergeCell ref="H88:J88"/>
    <mergeCell ref="K88:M88"/>
    <mergeCell ref="B89:D89"/>
    <mergeCell ref="E89:G89"/>
    <mergeCell ref="H89:J89"/>
    <mergeCell ref="K89:M89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3C06-5329-40C7-BB37-1359575AF9F3}">
  <sheetPr codeName="Sheet3"/>
  <dimension ref="A1:AC93"/>
  <sheetViews>
    <sheetView zoomScaleNormal="10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Q37" sqref="Q37"/>
    </sheetView>
  </sheetViews>
  <sheetFormatPr defaultColWidth="9.44140625" defaultRowHeight="11.4" outlineLevelCol="1" x14ac:dyDescent="0.2"/>
  <cols>
    <col min="1" max="1" width="19.44140625" style="1" bestFit="1" customWidth="1"/>
    <col min="2" max="2" width="19.44140625" style="1" hidden="1" customWidth="1" outlineLevel="1"/>
    <col min="3" max="3" width="15.5546875" style="23" hidden="1" customWidth="1" outlineLevel="1"/>
    <col min="4" max="4" width="11.5546875" style="2" hidden="1" customWidth="1" outlineLevel="1"/>
    <col min="5" max="5" width="14" style="2" hidden="1" customWidth="1" outlineLevel="1"/>
    <col min="6" max="6" width="14.44140625" style="2" hidden="1" customWidth="1" outlineLevel="1" collapsed="1"/>
    <col min="7" max="7" width="15.5546875" style="1" hidden="1" customWidth="1" outlineLevel="1"/>
    <col min="8" max="8" width="11.5546875" style="2" hidden="1" customWidth="1" outlineLevel="1"/>
    <col min="9" max="9" width="14" style="2" hidden="1" customWidth="1" outlineLevel="1"/>
    <col min="10" max="10" width="14" style="100" hidden="1" customWidth="1" outlineLevel="1" collapsed="1"/>
    <col min="11" max="11" width="16.44140625" style="1" hidden="1" customWidth="1" outlineLevel="1"/>
    <col min="12" max="12" width="13.5546875" style="2" hidden="1" customWidth="1" outlineLevel="1"/>
    <col min="13" max="13" width="14" style="2" hidden="1" customWidth="1" outlineLevel="1"/>
    <col min="14" max="14" width="17.44140625" style="23" customWidth="1" collapsed="1"/>
    <col min="15" max="15" width="15.5546875" style="1" bestFit="1" customWidth="1"/>
    <col min="16" max="16" width="11.5546875" style="2" bestFit="1" customWidth="1"/>
    <col min="17" max="17" width="13.5546875" style="2" bestFit="1" customWidth="1"/>
    <col min="18" max="18" width="17.44140625" style="23" customWidth="1" collapsed="1"/>
    <col min="19" max="19" width="13.44140625" style="1" bestFit="1" customWidth="1"/>
    <col min="20" max="20" width="11.5546875" style="2" bestFit="1" customWidth="1"/>
    <col min="21" max="21" width="13.5546875" style="2" bestFit="1" customWidth="1"/>
    <col min="22" max="22" width="19.44140625" style="2" bestFit="1" customWidth="1"/>
    <col min="23" max="23" width="18.44140625" style="1" bestFit="1" customWidth="1"/>
    <col min="24" max="24" width="12.5546875" style="1" bestFit="1" customWidth="1"/>
    <col min="25" max="25" width="10.44140625" style="1" bestFit="1" customWidth="1"/>
    <col min="26" max="26" width="9.44140625" style="1"/>
    <col min="27" max="27" width="17.44140625" style="1" bestFit="1" customWidth="1"/>
    <col min="28" max="16384" width="9.44140625" style="1"/>
  </cols>
  <sheetData>
    <row r="1" spans="1:29" ht="11.25" customHeight="1" x14ac:dyDescent="0.2">
      <c r="A1" s="215"/>
      <c r="B1" s="95"/>
      <c r="C1" s="221" t="s">
        <v>54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118"/>
      <c r="S1" s="118"/>
      <c r="T1" s="118"/>
      <c r="U1" s="118"/>
      <c r="V1" s="118"/>
    </row>
    <row r="2" spans="1:29" ht="11.25" customHeight="1" x14ac:dyDescent="0.2">
      <c r="A2" s="216"/>
      <c r="B2" s="96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118"/>
      <c r="S2" s="118"/>
      <c r="T2" s="118"/>
      <c r="U2" s="118"/>
      <c r="V2" s="118"/>
    </row>
    <row r="3" spans="1:29" ht="12" customHeight="1" thickBot="1" x14ac:dyDescent="0.25">
      <c r="A3" s="217"/>
      <c r="B3" s="97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118"/>
      <c r="S3" s="118"/>
      <c r="T3" s="118"/>
      <c r="U3" s="118"/>
      <c r="V3" s="118"/>
    </row>
    <row r="4" spans="1:29" ht="15" customHeight="1" x14ac:dyDescent="0.2">
      <c r="A4" s="9" t="s">
        <v>39</v>
      </c>
      <c r="B4" s="228" t="s">
        <v>40</v>
      </c>
      <c r="C4" s="229"/>
      <c r="D4" s="229"/>
      <c r="E4" s="230"/>
      <c r="F4" s="228" t="s">
        <v>41</v>
      </c>
      <c r="G4" s="229"/>
      <c r="H4" s="229"/>
      <c r="I4" s="230"/>
      <c r="J4" s="228" t="s">
        <v>42</v>
      </c>
      <c r="K4" s="229"/>
      <c r="L4" s="229"/>
      <c r="M4" s="230"/>
      <c r="N4" s="228" t="s">
        <v>43</v>
      </c>
      <c r="O4" s="229"/>
      <c r="P4" s="229"/>
      <c r="Q4" s="229"/>
      <c r="R4" s="227" t="s">
        <v>125</v>
      </c>
      <c r="S4" s="227"/>
      <c r="T4" s="227"/>
      <c r="U4" s="227"/>
      <c r="V4" s="127"/>
    </row>
    <row r="5" spans="1:29" ht="12" thickBot="1" x14ac:dyDescent="0.25">
      <c r="A5" s="10" t="s">
        <v>38</v>
      </c>
      <c r="B5" s="10" t="s">
        <v>98</v>
      </c>
      <c r="C5" s="19" t="s">
        <v>56</v>
      </c>
      <c r="D5" s="14" t="s">
        <v>57</v>
      </c>
      <c r="E5" s="6" t="s">
        <v>58</v>
      </c>
      <c r="F5" s="98" t="s">
        <v>98</v>
      </c>
      <c r="G5" s="10" t="s">
        <v>56</v>
      </c>
      <c r="H5" s="14" t="s">
        <v>57</v>
      </c>
      <c r="I5" s="6" t="s">
        <v>58</v>
      </c>
      <c r="J5" s="98" t="s">
        <v>98</v>
      </c>
      <c r="K5" s="10" t="s">
        <v>56</v>
      </c>
      <c r="L5" s="14" t="s">
        <v>57</v>
      </c>
      <c r="M5" s="6" t="s">
        <v>58</v>
      </c>
      <c r="N5" s="104" t="s">
        <v>98</v>
      </c>
      <c r="O5" s="10" t="s">
        <v>56</v>
      </c>
      <c r="P5" s="14" t="s">
        <v>57</v>
      </c>
      <c r="Q5" s="119" t="s">
        <v>58</v>
      </c>
      <c r="R5" s="128" t="s">
        <v>98</v>
      </c>
      <c r="S5" s="129" t="s">
        <v>127</v>
      </c>
      <c r="T5" s="130" t="s">
        <v>57</v>
      </c>
      <c r="U5" s="130" t="s">
        <v>58</v>
      </c>
      <c r="V5" s="129" t="s">
        <v>126</v>
      </c>
      <c r="W5" s="1" t="s">
        <v>124</v>
      </c>
    </row>
    <row r="6" spans="1:29" x14ac:dyDescent="0.2">
      <c r="A6" s="34" t="s">
        <v>0</v>
      </c>
      <c r="B6" s="35">
        <v>2800870</v>
      </c>
      <c r="C6" s="35">
        <v>-104242</v>
      </c>
      <c r="D6" s="36">
        <v>45054</v>
      </c>
      <c r="E6" s="76">
        <v>45055</v>
      </c>
      <c r="F6" s="35">
        <v>2585186</v>
      </c>
      <c r="G6" s="35">
        <v>-100165</v>
      </c>
      <c r="H6" s="15">
        <v>45146</v>
      </c>
      <c r="I6" s="76">
        <v>45147</v>
      </c>
      <c r="J6" s="20">
        <v>2667791</v>
      </c>
      <c r="K6" s="20">
        <v>79407</v>
      </c>
      <c r="L6" s="15">
        <v>45238</v>
      </c>
      <c r="M6" s="15">
        <v>45238</v>
      </c>
      <c r="N6" s="105">
        <v>2619511</v>
      </c>
      <c r="O6" s="20">
        <v>-56847</v>
      </c>
      <c r="P6" s="15">
        <v>45329</v>
      </c>
      <c r="Q6" s="120">
        <v>45329</v>
      </c>
      <c r="R6" s="131"/>
      <c r="S6" s="132"/>
      <c r="T6" s="43"/>
      <c r="U6" s="32"/>
      <c r="V6" s="62"/>
      <c r="W6" s="1" t="str">
        <f>RIGHT(A6,2)</f>
        <v>92</v>
      </c>
      <c r="AA6" s="103">
        <f>+O6/N6</f>
        <v>-2.1701378616085214E-2</v>
      </c>
      <c r="AB6" s="116">
        <f>+'[1]Reg. Llamados y Distribucion'!$L$1396-'[1]Reg. Llamados y Distribucion'!$L$1423</f>
        <v>-11605</v>
      </c>
      <c r="AC6" s="116">
        <f>+N6+AB6</f>
        <v>2607906</v>
      </c>
    </row>
    <row r="7" spans="1:29" x14ac:dyDescent="0.2">
      <c r="A7" s="38" t="s">
        <v>1</v>
      </c>
      <c r="B7" s="39">
        <v>93355</v>
      </c>
      <c r="C7" s="39">
        <v>-3476</v>
      </c>
      <c r="D7" s="40">
        <v>45054</v>
      </c>
      <c r="E7" s="76">
        <v>45055</v>
      </c>
      <c r="F7" s="39">
        <v>86164</v>
      </c>
      <c r="G7" s="39">
        <v>-3338</v>
      </c>
      <c r="H7" s="16">
        <v>45146</v>
      </c>
      <c r="I7" s="76">
        <v>45147</v>
      </c>
      <c r="J7" s="21">
        <v>88916</v>
      </c>
      <c r="K7" s="21">
        <v>2646</v>
      </c>
      <c r="L7" s="16">
        <v>45238</v>
      </c>
      <c r="M7" s="16">
        <v>45238</v>
      </c>
      <c r="N7" s="106">
        <v>87309</v>
      </c>
      <c r="O7" s="21">
        <v>-1891</v>
      </c>
      <c r="P7" s="15">
        <v>45329</v>
      </c>
      <c r="Q7" s="120">
        <v>45329</v>
      </c>
      <c r="R7" s="133"/>
      <c r="S7" s="24"/>
      <c r="T7" s="43"/>
      <c r="U7" s="32"/>
      <c r="V7" s="62"/>
      <c r="W7" s="1" t="str">
        <f t="shared" ref="W7:W70" si="0">RIGHT(A7,2)</f>
        <v>BA</v>
      </c>
      <c r="AA7" s="103">
        <f>+O7/N7</f>
        <v>-2.1658706433471921E-2</v>
      </c>
      <c r="AB7" s="116">
        <f>+'[1]Reg. Llamados y Distribucion'!$L$1397-'[1]Reg. Llamados y Distribucion'!$L$1424</f>
        <v>-386</v>
      </c>
      <c r="AC7" s="116">
        <f>+N7+AB7</f>
        <v>86923</v>
      </c>
    </row>
    <row r="8" spans="1:29" x14ac:dyDescent="0.2">
      <c r="A8" s="11" t="s">
        <v>67</v>
      </c>
      <c r="B8" s="20">
        <v>70586266</v>
      </c>
      <c r="C8" s="20">
        <v>-3427374</v>
      </c>
      <c r="D8" s="26">
        <v>45054</v>
      </c>
      <c r="E8" s="76">
        <v>45055</v>
      </c>
      <c r="F8" s="20">
        <v>70656225</v>
      </c>
      <c r="G8" s="20">
        <v>314427</v>
      </c>
      <c r="H8" s="15">
        <v>45146</v>
      </c>
      <c r="I8" s="76">
        <v>45147</v>
      </c>
      <c r="J8" s="70">
        <v>71914001</v>
      </c>
      <c r="K8" s="70">
        <v>1281444</v>
      </c>
      <c r="L8" s="71">
        <v>45238</v>
      </c>
      <c r="M8" s="71">
        <v>45238</v>
      </c>
      <c r="N8" s="107">
        <v>70259916</v>
      </c>
      <c r="O8" s="70">
        <v>1456595</v>
      </c>
      <c r="P8" s="15">
        <v>45329</v>
      </c>
      <c r="Q8" s="120">
        <v>45329</v>
      </c>
      <c r="R8" s="134"/>
      <c r="S8" s="84"/>
      <c r="T8" s="43"/>
      <c r="U8" s="32"/>
      <c r="V8" s="62"/>
      <c r="W8" s="1" t="str">
        <f t="shared" si="0"/>
        <v>92</v>
      </c>
      <c r="Z8" s="2"/>
      <c r="AB8" s="2"/>
      <c r="AC8" s="23"/>
    </row>
    <row r="9" spans="1:29" x14ac:dyDescent="0.2">
      <c r="A9" s="12" t="s">
        <v>68</v>
      </c>
      <c r="B9" s="21">
        <v>2941077</v>
      </c>
      <c r="C9" s="21">
        <v>-142807</v>
      </c>
      <c r="D9" s="27">
        <v>45054</v>
      </c>
      <c r="E9" s="76">
        <v>45055</v>
      </c>
      <c r="F9" s="21">
        <v>2943991</v>
      </c>
      <c r="G9" s="21">
        <v>13100</v>
      </c>
      <c r="H9" s="16">
        <v>45146</v>
      </c>
      <c r="I9" s="76">
        <v>45147</v>
      </c>
      <c r="J9" s="21">
        <v>2996401</v>
      </c>
      <c r="K9" s="21">
        <v>53396</v>
      </c>
      <c r="L9" s="16">
        <v>45238</v>
      </c>
      <c r="M9" s="16">
        <v>45238</v>
      </c>
      <c r="N9" s="106">
        <v>2927482</v>
      </c>
      <c r="O9" s="21">
        <v>60693</v>
      </c>
      <c r="P9" s="15">
        <v>45329</v>
      </c>
      <c r="Q9" s="120">
        <v>45329</v>
      </c>
      <c r="R9" s="133"/>
      <c r="S9" s="24"/>
      <c r="T9" s="43"/>
      <c r="U9" s="32"/>
      <c r="V9" s="62"/>
      <c r="W9" s="1" t="str">
        <f t="shared" si="0"/>
        <v>94</v>
      </c>
      <c r="Z9" s="2"/>
      <c r="AB9" s="2"/>
      <c r="AC9" s="23"/>
    </row>
    <row r="10" spans="1:29" x14ac:dyDescent="0.2">
      <c r="A10" s="11" t="s">
        <v>69</v>
      </c>
      <c r="B10" s="20">
        <v>1618769</v>
      </c>
      <c r="C10" s="20">
        <v>-234968</v>
      </c>
      <c r="D10" s="26">
        <v>45054</v>
      </c>
      <c r="E10" s="76">
        <v>45055</v>
      </c>
      <c r="F10" s="20">
        <v>1621461</v>
      </c>
      <c r="G10" s="20">
        <v>25826</v>
      </c>
      <c r="H10" s="15">
        <v>45146</v>
      </c>
      <c r="I10" s="76">
        <v>45147</v>
      </c>
      <c r="J10" s="20">
        <v>1594958</v>
      </c>
      <c r="K10" s="20">
        <v>12631</v>
      </c>
      <c r="L10" s="15">
        <v>45238</v>
      </c>
      <c r="M10" s="15">
        <v>45238</v>
      </c>
      <c r="N10" s="107">
        <v>1534934</v>
      </c>
      <c r="O10" s="20">
        <v>-7298</v>
      </c>
      <c r="P10" s="15">
        <v>45329</v>
      </c>
      <c r="Q10" s="120">
        <v>45329</v>
      </c>
      <c r="R10" s="134"/>
      <c r="S10" s="132"/>
      <c r="T10" s="43"/>
      <c r="U10" s="32"/>
      <c r="V10" s="62"/>
      <c r="W10" s="1" t="str">
        <f t="shared" si="0"/>
        <v>75</v>
      </c>
      <c r="Z10" s="2"/>
      <c r="AB10" s="2"/>
      <c r="AC10" s="23"/>
    </row>
    <row r="11" spans="1:29" x14ac:dyDescent="0.2">
      <c r="A11" s="13" t="s">
        <v>70</v>
      </c>
      <c r="B11" s="22">
        <v>72844338</v>
      </c>
      <c r="C11" s="22">
        <v>-10573604</v>
      </c>
      <c r="D11" s="28">
        <v>45054</v>
      </c>
      <c r="E11" s="76">
        <v>45055</v>
      </c>
      <c r="F11" s="22">
        <v>72965552</v>
      </c>
      <c r="G11" s="22">
        <v>1162251</v>
      </c>
      <c r="H11" s="17">
        <v>45146</v>
      </c>
      <c r="I11" s="76">
        <v>45147</v>
      </c>
      <c r="J11" s="22">
        <v>71772789</v>
      </c>
      <c r="K11" s="22">
        <v>568274</v>
      </c>
      <c r="L11" s="17">
        <v>45238</v>
      </c>
      <c r="M11" s="17">
        <v>45238</v>
      </c>
      <c r="N11" s="107">
        <v>69071712</v>
      </c>
      <c r="O11" s="22">
        <v>-328396</v>
      </c>
      <c r="P11" s="15">
        <v>45329</v>
      </c>
      <c r="Q11" s="120">
        <v>45329</v>
      </c>
      <c r="R11" s="134"/>
      <c r="S11" s="85"/>
      <c r="T11" s="43"/>
      <c r="U11" s="32"/>
      <c r="V11" s="62"/>
      <c r="W11" s="1" t="str">
        <f t="shared" si="0"/>
        <v>92</v>
      </c>
      <c r="Z11" s="2"/>
      <c r="AB11" s="2"/>
      <c r="AC11" s="23"/>
    </row>
    <row r="12" spans="1:29" x14ac:dyDescent="0.2">
      <c r="A12" s="12" t="s">
        <v>71</v>
      </c>
      <c r="B12" s="21">
        <v>6475042</v>
      </c>
      <c r="C12" s="21">
        <v>-939874</v>
      </c>
      <c r="D12" s="27">
        <v>45054</v>
      </c>
      <c r="E12" s="76">
        <v>45055</v>
      </c>
      <c r="F12" s="21">
        <v>6485817</v>
      </c>
      <c r="G12" s="21">
        <v>103311</v>
      </c>
      <c r="H12" s="16">
        <v>45146</v>
      </c>
      <c r="I12" s="76">
        <v>45147</v>
      </c>
      <c r="J12" s="21">
        <v>6379789</v>
      </c>
      <c r="K12" s="21">
        <v>50508</v>
      </c>
      <c r="L12" s="16">
        <v>45238</v>
      </c>
      <c r="M12" s="16">
        <v>45238</v>
      </c>
      <c r="N12" s="106">
        <v>6139693</v>
      </c>
      <c r="O12" s="21">
        <v>-29193</v>
      </c>
      <c r="P12" s="15">
        <v>45329</v>
      </c>
      <c r="Q12" s="120">
        <v>45329</v>
      </c>
      <c r="R12" s="133"/>
      <c r="S12" s="24"/>
      <c r="T12" s="43"/>
      <c r="U12" s="32"/>
      <c r="V12" s="62"/>
      <c r="W12" s="1" t="str">
        <f t="shared" si="0"/>
        <v>94</v>
      </c>
      <c r="Z12" s="2"/>
      <c r="AB12" s="2"/>
      <c r="AC12" s="23"/>
    </row>
    <row r="13" spans="1:29" x14ac:dyDescent="0.2">
      <c r="A13" s="11" t="s">
        <v>72</v>
      </c>
      <c r="B13" s="20">
        <v>875041</v>
      </c>
      <c r="C13" s="20">
        <v>6173</v>
      </c>
      <c r="D13" s="26">
        <v>45054</v>
      </c>
      <c r="E13" s="76">
        <v>45055</v>
      </c>
      <c r="F13" s="20">
        <v>904001</v>
      </c>
      <c r="G13" s="20">
        <v>14073</v>
      </c>
      <c r="H13" s="15">
        <v>45146</v>
      </c>
      <c r="I13" s="76">
        <v>45147</v>
      </c>
      <c r="J13" s="20">
        <v>910275</v>
      </c>
      <c r="K13" s="20">
        <v>6785</v>
      </c>
      <c r="L13" s="15">
        <v>45238</v>
      </c>
      <c r="M13" s="15">
        <v>45238</v>
      </c>
      <c r="N13" s="107">
        <v>935079</v>
      </c>
      <c r="O13" s="20">
        <v>14341</v>
      </c>
      <c r="P13" s="15">
        <v>45329</v>
      </c>
      <c r="Q13" s="120">
        <v>45329</v>
      </c>
      <c r="R13" s="134"/>
      <c r="S13" s="132"/>
      <c r="T13" s="43"/>
      <c r="U13" s="32"/>
      <c r="V13" s="62"/>
      <c r="W13" s="1" t="str">
        <f t="shared" si="0"/>
        <v>75</v>
      </c>
      <c r="Z13" s="2"/>
      <c r="AB13" s="2"/>
      <c r="AC13" s="23"/>
    </row>
    <row r="14" spans="1:29" x14ac:dyDescent="0.2">
      <c r="A14" s="13" t="s">
        <v>73</v>
      </c>
      <c r="B14" s="22">
        <v>83613439</v>
      </c>
      <c r="C14" s="22">
        <v>589184</v>
      </c>
      <c r="D14" s="28">
        <v>45054</v>
      </c>
      <c r="E14" s="76">
        <v>45055</v>
      </c>
      <c r="F14" s="22">
        <v>86380537</v>
      </c>
      <c r="G14" s="22">
        <v>1344548</v>
      </c>
      <c r="H14" s="17">
        <v>45146</v>
      </c>
      <c r="I14" s="76">
        <v>45147</v>
      </c>
      <c r="J14" s="22">
        <v>86979656</v>
      </c>
      <c r="K14" s="22">
        <v>647960</v>
      </c>
      <c r="L14" s="17">
        <v>45238</v>
      </c>
      <c r="M14" s="17">
        <v>45238</v>
      </c>
      <c r="N14" s="107">
        <v>89349287</v>
      </c>
      <c r="O14" s="22">
        <v>1369740</v>
      </c>
      <c r="P14" s="15">
        <v>45329</v>
      </c>
      <c r="Q14" s="120">
        <v>45329</v>
      </c>
      <c r="R14" s="134"/>
      <c r="S14" s="85"/>
      <c r="T14" s="43"/>
      <c r="U14" s="32"/>
      <c r="V14" s="62"/>
      <c r="W14" s="1" t="str">
        <f t="shared" si="0"/>
        <v>92</v>
      </c>
      <c r="Z14" s="2"/>
      <c r="AB14" s="2"/>
      <c r="AC14" s="23"/>
    </row>
    <row r="15" spans="1:29" x14ac:dyDescent="0.2">
      <c r="A15" s="13" t="s">
        <v>74</v>
      </c>
      <c r="B15" s="22">
        <v>2722300</v>
      </c>
      <c r="C15" s="22">
        <v>19180</v>
      </c>
      <c r="D15" s="28">
        <v>45054</v>
      </c>
      <c r="E15" s="76">
        <v>45055</v>
      </c>
      <c r="F15" s="22">
        <v>2812387</v>
      </c>
      <c r="G15" s="22">
        <v>43771</v>
      </c>
      <c r="H15" s="17">
        <v>45146</v>
      </c>
      <c r="I15" s="76">
        <v>45147</v>
      </c>
      <c r="J15" s="22">
        <v>2831892</v>
      </c>
      <c r="K15" s="22">
        <v>21094</v>
      </c>
      <c r="L15" s="17">
        <v>45238</v>
      </c>
      <c r="M15" s="17">
        <v>45238</v>
      </c>
      <c r="N15" s="107">
        <v>2909041</v>
      </c>
      <c r="O15" s="22">
        <v>44592</v>
      </c>
      <c r="P15" s="15">
        <v>45329</v>
      </c>
      <c r="Q15" s="120">
        <v>45329</v>
      </c>
      <c r="R15" s="134"/>
      <c r="S15" s="85"/>
      <c r="T15" s="43"/>
      <c r="U15" s="32"/>
      <c r="V15" s="62"/>
      <c r="W15" s="1" t="str">
        <f t="shared" si="0"/>
        <v>94</v>
      </c>
      <c r="Z15" s="2"/>
      <c r="AB15" s="2"/>
      <c r="AC15" s="23"/>
    </row>
    <row r="16" spans="1:29" x14ac:dyDescent="0.2">
      <c r="A16" s="12" t="s">
        <v>75</v>
      </c>
      <c r="B16" s="21">
        <v>10014165</v>
      </c>
      <c r="C16" s="21">
        <v>70565</v>
      </c>
      <c r="D16" s="27">
        <v>45054</v>
      </c>
      <c r="E16" s="76">
        <v>45055</v>
      </c>
      <c r="F16" s="21">
        <v>10345569</v>
      </c>
      <c r="G16" s="21">
        <v>161028</v>
      </c>
      <c r="H16" s="16">
        <v>45146</v>
      </c>
      <c r="I16" s="76">
        <v>45147</v>
      </c>
      <c r="J16" s="21">
        <v>10417320</v>
      </c>
      <c r="K16" s="21">
        <v>77600</v>
      </c>
      <c r="L16" s="16">
        <v>45238</v>
      </c>
      <c r="M16" s="16">
        <v>45238</v>
      </c>
      <c r="N16" s="108">
        <v>10701124</v>
      </c>
      <c r="O16" s="21">
        <v>164049</v>
      </c>
      <c r="P16" s="15">
        <v>45329</v>
      </c>
      <c r="Q16" s="120">
        <v>45329</v>
      </c>
      <c r="R16" s="111"/>
      <c r="S16" s="24"/>
      <c r="T16" s="43"/>
      <c r="U16" s="32"/>
      <c r="V16" s="62"/>
      <c r="W16" s="1" t="str">
        <f t="shared" si="0"/>
        <v>95</v>
      </c>
      <c r="Z16" s="2"/>
      <c r="AB16" s="2"/>
      <c r="AC16" s="23"/>
    </row>
    <row r="17" spans="1:29" x14ac:dyDescent="0.2">
      <c r="A17" s="11" t="s">
        <v>77</v>
      </c>
      <c r="B17" s="20">
        <v>2213467</v>
      </c>
      <c r="C17" s="20">
        <v>-9360</v>
      </c>
      <c r="D17" s="27">
        <v>45054</v>
      </c>
      <c r="E17" s="76">
        <v>45055</v>
      </c>
      <c r="F17" s="20">
        <v>2342173</v>
      </c>
      <c r="G17" s="20">
        <v>54783</v>
      </c>
      <c r="H17" s="15">
        <v>45146</v>
      </c>
      <c r="I17" s="76"/>
      <c r="J17" s="20">
        <v>2510732</v>
      </c>
      <c r="K17" s="20">
        <v>77088</v>
      </c>
      <c r="L17" s="15">
        <v>45238</v>
      </c>
      <c r="M17" s="76"/>
      <c r="N17" s="107">
        <v>2671138</v>
      </c>
      <c r="O17" s="20">
        <v>56184</v>
      </c>
      <c r="P17" s="15">
        <v>45329</v>
      </c>
      <c r="Q17" s="120"/>
      <c r="R17" s="134"/>
      <c r="S17" s="132"/>
      <c r="T17" s="43"/>
      <c r="U17" s="32"/>
      <c r="V17" s="62"/>
      <c r="W17" s="1" t="str">
        <f t="shared" si="0"/>
        <v>31</v>
      </c>
      <c r="Z17" s="2"/>
      <c r="AB17" s="2"/>
      <c r="AC17" s="23"/>
    </row>
    <row r="18" spans="1:29" x14ac:dyDescent="0.2">
      <c r="A18" s="11" t="s">
        <v>76</v>
      </c>
      <c r="B18" s="20">
        <v>1544289</v>
      </c>
      <c r="C18" s="22">
        <v>-6529</v>
      </c>
      <c r="D18" s="27">
        <v>45054</v>
      </c>
      <c r="E18" s="76">
        <v>45055</v>
      </c>
      <c r="F18" s="20">
        <v>1634081</v>
      </c>
      <c r="G18" s="22">
        <v>38217</v>
      </c>
      <c r="H18" s="17">
        <v>45146</v>
      </c>
      <c r="I18" s="76">
        <v>45147</v>
      </c>
      <c r="J18" s="22">
        <v>1751684</v>
      </c>
      <c r="K18" s="22">
        <v>53786</v>
      </c>
      <c r="L18" s="17">
        <v>45238</v>
      </c>
      <c r="M18" s="17">
        <v>45238</v>
      </c>
      <c r="N18" s="107">
        <v>1863594</v>
      </c>
      <c r="O18" s="22">
        <v>39197</v>
      </c>
      <c r="P18" s="15">
        <v>45329</v>
      </c>
      <c r="Q18" s="120">
        <v>45329</v>
      </c>
      <c r="R18" s="134"/>
      <c r="S18" s="85"/>
      <c r="T18" s="43"/>
      <c r="U18" s="32"/>
      <c r="V18" s="62"/>
      <c r="W18" s="1" t="str">
        <f t="shared" si="0"/>
        <v>75</v>
      </c>
      <c r="Z18" s="2"/>
      <c r="AB18" s="2"/>
      <c r="AC18" s="23"/>
    </row>
    <row r="19" spans="1:29" x14ac:dyDescent="0.2">
      <c r="A19" s="11" t="s">
        <v>78</v>
      </c>
      <c r="B19" s="20">
        <v>84935592</v>
      </c>
      <c r="C19" s="22">
        <v>-359065</v>
      </c>
      <c r="D19" s="27">
        <v>45054</v>
      </c>
      <c r="E19" s="76">
        <v>45055</v>
      </c>
      <c r="F19" s="20">
        <v>89874265</v>
      </c>
      <c r="G19" s="22">
        <v>2102094</v>
      </c>
      <c r="H19" s="17">
        <v>45146</v>
      </c>
      <c r="I19" s="76">
        <v>45147</v>
      </c>
      <c r="J19" s="22">
        <v>96342319</v>
      </c>
      <c r="K19" s="22">
        <v>2958069</v>
      </c>
      <c r="L19" s="17">
        <v>45238</v>
      </c>
      <c r="M19" s="17">
        <v>45238</v>
      </c>
      <c r="N19" s="107">
        <v>102497488</v>
      </c>
      <c r="O19" s="22">
        <v>2155957</v>
      </c>
      <c r="P19" s="15">
        <v>45329</v>
      </c>
      <c r="Q19" s="120">
        <v>45329</v>
      </c>
      <c r="R19" s="134"/>
      <c r="S19" s="85"/>
      <c r="T19" s="43"/>
      <c r="U19" s="32"/>
      <c r="V19" s="62"/>
      <c r="W19" s="1" t="str">
        <f t="shared" si="0"/>
        <v>92</v>
      </c>
      <c r="Z19" s="2"/>
      <c r="AB19" s="2"/>
      <c r="AC19" s="23"/>
    </row>
    <row r="20" spans="1:29" x14ac:dyDescent="0.2">
      <c r="A20" s="11" t="s">
        <v>79</v>
      </c>
      <c r="B20" s="20">
        <v>38607096</v>
      </c>
      <c r="C20" s="22">
        <v>-163209</v>
      </c>
      <c r="D20" s="27">
        <v>45054</v>
      </c>
      <c r="E20" s="76">
        <v>45055</v>
      </c>
      <c r="F20" s="20">
        <v>40851947</v>
      </c>
      <c r="G20" s="22">
        <v>955496</v>
      </c>
      <c r="H20" s="17">
        <v>45146</v>
      </c>
      <c r="I20" s="76">
        <v>45147</v>
      </c>
      <c r="J20" s="22">
        <v>43791977</v>
      </c>
      <c r="K20" s="22">
        <v>1344582</v>
      </c>
      <c r="L20" s="28">
        <v>45238</v>
      </c>
      <c r="M20" s="28">
        <v>45238</v>
      </c>
      <c r="N20" s="107">
        <v>46589773</v>
      </c>
      <c r="O20" s="22">
        <v>979974</v>
      </c>
      <c r="P20" s="15">
        <v>45329</v>
      </c>
      <c r="Q20" s="120">
        <v>45329</v>
      </c>
      <c r="R20" s="134"/>
      <c r="S20" s="85"/>
      <c r="T20" s="43"/>
      <c r="U20" s="32"/>
      <c r="V20" s="62"/>
      <c r="W20" s="1" t="str">
        <f t="shared" si="0"/>
        <v>94</v>
      </c>
      <c r="Z20" s="2"/>
      <c r="AB20" s="2"/>
      <c r="AC20" s="23"/>
    </row>
    <row r="21" spans="1:29" x14ac:dyDescent="0.2">
      <c r="A21" s="11" t="s">
        <v>80</v>
      </c>
      <c r="B21" s="20">
        <v>2573808</v>
      </c>
      <c r="C21" s="22">
        <v>-10878</v>
      </c>
      <c r="D21" s="27">
        <v>45054</v>
      </c>
      <c r="E21" s="76">
        <v>45055</v>
      </c>
      <c r="F21" s="20">
        <v>2723465</v>
      </c>
      <c r="G21" s="22">
        <v>63700</v>
      </c>
      <c r="H21" s="17">
        <v>45146</v>
      </c>
      <c r="I21" s="76">
        <v>45147</v>
      </c>
      <c r="J21" s="22">
        <v>2919466</v>
      </c>
      <c r="K21" s="22">
        <v>89638</v>
      </c>
      <c r="L21" s="28">
        <v>45238</v>
      </c>
      <c r="M21" s="28">
        <v>45238</v>
      </c>
      <c r="N21" s="107">
        <v>3105984</v>
      </c>
      <c r="O21" s="22">
        <v>65329</v>
      </c>
      <c r="P21" s="15">
        <v>45329</v>
      </c>
      <c r="Q21" s="120">
        <v>45329</v>
      </c>
      <c r="R21" s="134"/>
      <c r="S21" s="85"/>
      <c r="T21" s="43"/>
      <c r="U21" s="32"/>
      <c r="V21" s="62"/>
      <c r="W21" s="1" t="str">
        <f t="shared" si="0"/>
        <v>95</v>
      </c>
      <c r="Z21" s="2"/>
      <c r="AB21" s="2"/>
      <c r="AC21" s="23"/>
    </row>
    <row r="22" spans="1:29" x14ac:dyDescent="0.2">
      <c r="A22" s="11" t="s">
        <v>81</v>
      </c>
      <c r="B22" s="20">
        <v>3037090.9887837134</v>
      </c>
      <c r="C22" s="22">
        <v>-12837.259448774159</v>
      </c>
      <c r="D22" s="27">
        <v>45054</v>
      </c>
      <c r="E22" s="76">
        <v>45055</v>
      </c>
      <c r="F22" s="20">
        <v>3213685.6207293635</v>
      </c>
      <c r="G22" s="22">
        <v>75166.00810524635</v>
      </c>
      <c r="H22" s="17">
        <v>45146</v>
      </c>
      <c r="I22" s="76">
        <v>45147</v>
      </c>
      <c r="J22" s="22">
        <v>3444966.5972815892</v>
      </c>
      <c r="K22" s="22">
        <v>105771.78559905477</v>
      </c>
      <c r="L22" s="17">
        <v>45238</v>
      </c>
      <c r="M22" s="17">
        <v>45238</v>
      </c>
      <c r="N22" s="107">
        <v>3665059.4597241599</v>
      </c>
      <c r="O22" s="22">
        <v>77092.072829064913</v>
      </c>
      <c r="P22" s="15">
        <v>45329</v>
      </c>
      <c r="Q22" s="120">
        <v>45329</v>
      </c>
      <c r="R22" s="134"/>
      <c r="S22" s="85"/>
      <c r="T22" s="43"/>
      <c r="U22" s="32"/>
      <c r="V22" s="62"/>
      <c r="W22" s="1" t="str">
        <f t="shared" si="0"/>
        <v>BA</v>
      </c>
      <c r="Z22" s="2"/>
      <c r="AB22" s="2"/>
      <c r="AC22" s="23"/>
    </row>
    <row r="23" spans="1:29" x14ac:dyDescent="0.2">
      <c r="A23" s="68" t="s">
        <v>82</v>
      </c>
      <c r="B23" s="21">
        <v>154428.01121628683</v>
      </c>
      <c r="C23" s="21">
        <v>-652.74055122584105</v>
      </c>
      <c r="D23" s="27">
        <v>45054</v>
      </c>
      <c r="E23" s="76">
        <v>45055</v>
      </c>
      <c r="F23" s="21">
        <v>163407.37927063688</v>
      </c>
      <c r="G23" s="21">
        <v>3821.9918947535916</v>
      </c>
      <c r="H23" s="16">
        <v>45146</v>
      </c>
      <c r="I23" s="76">
        <v>45147</v>
      </c>
      <c r="J23" s="21">
        <v>175167.40271841129</v>
      </c>
      <c r="K23" s="21">
        <v>5378.2144009452022</v>
      </c>
      <c r="L23" s="16">
        <v>45238</v>
      </c>
      <c r="M23" s="16">
        <v>45238</v>
      </c>
      <c r="N23" s="108">
        <v>186358.54027584012</v>
      </c>
      <c r="O23" s="21">
        <v>3919.9271709345339</v>
      </c>
      <c r="P23" s="15">
        <v>45329</v>
      </c>
      <c r="Q23" s="120">
        <v>45329</v>
      </c>
      <c r="R23" s="111"/>
      <c r="S23" s="24"/>
      <c r="T23" s="43"/>
      <c r="U23" s="32"/>
      <c r="V23" s="62"/>
      <c r="W23" s="1" t="str">
        <f t="shared" si="0"/>
        <v>BQ</v>
      </c>
      <c r="Z23" s="2"/>
      <c r="AB23" s="2"/>
      <c r="AC23" s="23"/>
    </row>
    <row r="24" spans="1:29" x14ac:dyDescent="0.2">
      <c r="A24" s="67" t="s">
        <v>97</v>
      </c>
      <c r="B24" s="72">
        <v>40884000</v>
      </c>
      <c r="C24" s="72">
        <v>-223684</v>
      </c>
      <c r="D24" s="30">
        <v>45054</v>
      </c>
      <c r="E24" s="76">
        <v>45055</v>
      </c>
      <c r="F24" s="72">
        <v>40795316</v>
      </c>
      <c r="G24" s="72">
        <v>-651816</v>
      </c>
      <c r="H24" s="73">
        <v>45146</v>
      </c>
      <c r="I24" s="76">
        <v>45147</v>
      </c>
      <c r="J24" s="72">
        <v>53357281</v>
      </c>
      <c r="K24" s="72">
        <v>1013842</v>
      </c>
      <c r="L24" s="73">
        <v>45238</v>
      </c>
      <c r="M24" s="73">
        <v>45238</v>
      </c>
      <c r="N24" s="109">
        <v>61703510</v>
      </c>
      <c r="O24" s="72">
        <v>130409</v>
      </c>
      <c r="P24" s="73">
        <v>45329</v>
      </c>
      <c r="Q24" s="120">
        <v>45329</v>
      </c>
      <c r="R24" s="135"/>
      <c r="S24" s="136"/>
      <c r="T24" s="137"/>
      <c r="U24" s="32"/>
      <c r="V24" s="62"/>
      <c r="W24" s="1" t="str">
        <f t="shared" si="0"/>
        <v>94</v>
      </c>
    </row>
    <row r="25" spans="1:29" x14ac:dyDescent="0.2">
      <c r="A25" s="67" t="s">
        <v>2</v>
      </c>
      <c r="B25" s="72">
        <v>803688</v>
      </c>
      <c r="C25" s="72">
        <v>29039</v>
      </c>
      <c r="D25" s="30">
        <v>45091</v>
      </c>
      <c r="E25" s="76">
        <v>45091</v>
      </c>
      <c r="F25" s="72">
        <v>808308</v>
      </c>
      <c r="G25" s="72">
        <v>4620</v>
      </c>
      <c r="H25" s="73">
        <v>45183</v>
      </c>
      <c r="I25" s="77">
        <v>45184</v>
      </c>
      <c r="J25" s="72">
        <v>817794</v>
      </c>
      <c r="K25" s="72">
        <v>9486</v>
      </c>
      <c r="L25" s="73">
        <v>45279</v>
      </c>
      <c r="M25" s="77">
        <v>45279</v>
      </c>
      <c r="N25" s="109">
        <v>819875</v>
      </c>
      <c r="O25" s="72">
        <v>2081</v>
      </c>
      <c r="P25" s="16">
        <v>45411</v>
      </c>
      <c r="Q25" s="120">
        <v>45412</v>
      </c>
      <c r="R25" s="135"/>
      <c r="S25" s="136"/>
      <c r="T25" s="83"/>
      <c r="U25" s="32"/>
      <c r="V25" s="62"/>
      <c r="W25" s="1" t="str">
        <f t="shared" si="0"/>
        <v>IP</v>
      </c>
    </row>
    <row r="26" spans="1:29" x14ac:dyDescent="0.2">
      <c r="A26" s="12" t="s">
        <v>5</v>
      </c>
      <c r="B26" s="21">
        <v>3455499</v>
      </c>
      <c r="C26" s="21">
        <v>43330</v>
      </c>
      <c r="D26" s="27">
        <v>45100</v>
      </c>
      <c r="E26" s="77">
        <v>45100</v>
      </c>
      <c r="F26" s="21">
        <v>3365961</v>
      </c>
      <c r="G26" s="21">
        <v>-89538</v>
      </c>
      <c r="H26" s="16">
        <v>45194</v>
      </c>
      <c r="I26" s="77">
        <f>+H26</f>
        <v>45194</v>
      </c>
      <c r="J26" s="21">
        <v>3010038</v>
      </c>
      <c r="K26" s="21">
        <v>-155923</v>
      </c>
      <c r="L26" s="16">
        <v>45278</v>
      </c>
      <c r="M26" s="77">
        <v>45279</v>
      </c>
      <c r="N26" s="108">
        <v>2894819</v>
      </c>
      <c r="O26" s="21">
        <v>-115219</v>
      </c>
      <c r="P26" s="16">
        <v>45432</v>
      </c>
      <c r="Q26" s="120">
        <v>45433</v>
      </c>
      <c r="R26" s="111"/>
      <c r="S26" s="24"/>
      <c r="T26" s="83"/>
      <c r="U26" s="32"/>
      <c r="V26" s="62"/>
      <c r="W26" s="1" t="str">
        <f t="shared" si="0"/>
        <v>ds</v>
      </c>
    </row>
    <row r="27" spans="1:29" x14ac:dyDescent="0.2">
      <c r="A27" s="12" t="s">
        <v>6</v>
      </c>
      <c r="B27" s="21">
        <v>4428232</v>
      </c>
      <c r="C27" s="21">
        <v>-10056</v>
      </c>
      <c r="D27" s="27">
        <v>45120</v>
      </c>
      <c r="E27" s="77">
        <v>45196</v>
      </c>
      <c r="F27" s="21">
        <v>4185433</v>
      </c>
      <c r="G27" s="21">
        <v>-22998</v>
      </c>
      <c r="H27" s="16">
        <v>45196</v>
      </c>
      <c r="I27" s="77">
        <v>45198</v>
      </c>
      <c r="J27" s="21">
        <v>4138207</v>
      </c>
      <c r="K27" s="21">
        <v>116346</v>
      </c>
      <c r="L27" s="16">
        <v>45288</v>
      </c>
      <c r="M27" s="76">
        <v>45288</v>
      </c>
      <c r="N27" s="109">
        <v>3753893</v>
      </c>
      <c r="O27" s="21">
        <v>-128732</v>
      </c>
      <c r="P27" s="16">
        <v>45411</v>
      </c>
      <c r="Q27" s="120">
        <v>45412</v>
      </c>
      <c r="R27" s="135"/>
      <c r="S27" s="24"/>
      <c r="T27" s="83"/>
      <c r="U27" s="32"/>
      <c r="V27" s="62"/>
      <c r="W27" s="1" t="str">
        <f t="shared" si="0"/>
        <v xml:space="preserve">t </v>
      </c>
    </row>
    <row r="28" spans="1:29" x14ac:dyDescent="0.2">
      <c r="A28" s="11" t="s">
        <v>7</v>
      </c>
      <c r="B28" s="20">
        <v>158066</v>
      </c>
      <c r="C28" s="20">
        <v>2119</v>
      </c>
      <c r="D28" s="26">
        <v>45107</v>
      </c>
      <c r="E28" s="76">
        <v>45107</v>
      </c>
      <c r="F28" s="20">
        <v>151568</v>
      </c>
      <c r="G28" s="20">
        <v>-1553</v>
      </c>
      <c r="H28" s="15">
        <v>45197</v>
      </c>
      <c r="I28" s="77">
        <v>45198</v>
      </c>
      <c r="J28" s="20">
        <v>149778</v>
      </c>
      <c r="K28" s="20">
        <v>-1790</v>
      </c>
      <c r="L28" s="15">
        <v>45288</v>
      </c>
      <c r="M28" s="76">
        <v>45288</v>
      </c>
      <c r="N28" s="107">
        <v>150517</v>
      </c>
      <c r="O28" s="20">
        <v>1707</v>
      </c>
      <c r="P28" s="15">
        <v>45414</v>
      </c>
      <c r="Q28" s="120">
        <v>45476</v>
      </c>
      <c r="R28" s="134"/>
      <c r="S28" s="132"/>
      <c r="T28" s="43"/>
      <c r="U28" s="32"/>
      <c r="V28" s="62"/>
      <c r="W28" s="1" t="str">
        <f t="shared" si="0"/>
        <v>75</v>
      </c>
    </row>
    <row r="29" spans="1:29" x14ac:dyDescent="0.2">
      <c r="A29" s="13" t="s">
        <v>8</v>
      </c>
      <c r="B29" s="22">
        <v>3446394</v>
      </c>
      <c r="C29" s="22">
        <v>46234</v>
      </c>
      <c r="D29" s="28">
        <v>45107</v>
      </c>
      <c r="E29" s="76">
        <v>45107</v>
      </c>
      <c r="F29" s="22">
        <v>3304749</v>
      </c>
      <c r="G29" s="22">
        <v>-33850</v>
      </c>
      <c r="H29" s="17">
        <v>45197</v>
      </c>
      <c r="I29" s="77">
        <v>45198</v>
      </c>
      <c r="J29" s="22">
        <v>3265700</v>
      </c>
      <c r="K29" s="22">
        <v>-39049</v>
      </c>
      <c r="L29" s="15">
        <v>45288</v>
      </c>
      <c r="M29" s="76">
        <v>45288</v>
      </c>
      <c r="N29" s="107">
        <v>3281807</v>
      </c>
      <c r="O29" s="22">
        <v>37200</v>
      </c>
      <c r="P29" s="17">
        <v>45414</v>
      </c>
      <c r="Q29" s="120">
        <v>45476</v>
      </c>
      <c r="R29" s="134"/>
      <c r="S29" s="85"/>
      <c r="T29" s="82"/>
      <c r="U29" s="32"/>
      <c r="V29" s="62"/>
      <c r="W29" s="1" t="str">
        <f t="shared" si="0"/>
        <v>92</v>
      </c>
    </row>
    <row r="30" spans="1:29" x14ac:dyDescent="0.2">
      <c r="A30" s="12" t="s">
        <v>9</v>
      </c>
      <c r="B30" s="21">
        <v>189722</v>
      </c>
      <c r="C30" s="21">
        <v>2545</v>
      </c>
      <c r="D30" s="27">
        <v>45107</v>
      </c>
      <c r="E30" s="77">
        <v>45107</v>
      </c>
      <c r="F30" s="21">
        <v>181928</v>
      </c>
      <c r="G30" s="21">
        <v>-1862</v>
      </c>
      <c r="H30" s="16">
        <v>45197</v>
      </c>
      <c r="I30" s="77">
        <v>45198</v>
      </c>
      <c r="J30" s="21" t="s">
        <v>99</v>
      </c>
      <c r="K30" s="21">
        <v>-2151</v>
      </c>
      <c r="L30" s="16">
        <v>45288</v>
      </c>
      <c r="M30" s="76">
        <v>45288</v>
      </c>
      <c r="N30" s="110">
        <v>180664</v>
      </c>
      <c r="O30" s="21">
        <v>2049</v>
      </c>
      <c r="P30" s="16">
        <v>45414</v>
      </c>
      <c r="Q30" s="120">
        <v>45476</v>
      </c>
      <c r="R30" s="138"/>
      <c r="S30" s="24"/>
      <c r="T30" s="83"/>
      <c r="U30" s="32"/>
      <c r="V30" s="62"/>
      <c r="W30" s="1" t="str">
        <f t="shared" si="0"/>
        <v>94</v>
      </c>
    </row>
    <row r="31" spans="1:29" x14ac:dyDescent="0.2">
      <c r="A31" s="11" t="s">
        <v>10</v>
      </c>
      <c r="B31" s="20">
        <v>281459</v>
      </c>
      <c r="C31" s="20">
        <v>-2353</v>
      </c>
      <c r="D31" s="26">
        <v>45050</v>
      </c>
      <c r="E31" s="76">
        <v>45050</v>
      </c>
      <c r="F31" s="20">
        <v>276832</v>
      </c>
      <c r="G31" s="20">
        <v>3785</v>
      </c>
      <c r="H31" s="15">
        <v>45141</v>
      </c>
      <c r="I31" s="76">
        <v>45141</v>
      </c>
      <c r="J31" s="20">
        <v>266164</v>
      </c>
      <c r="K31" s="20">
        <v>72</v>
      </c>
      <c r="L31" s="15">
        <v>45230</v>
      </c>
      <c r="M31" s="76">
        <v>45230</v>
      </c>
      <c r="N31" s="107">
        <v>245991</v>
      </c>
      <c r="O31" s="20">
        <v>-10699</v>
      </c>
      <c r="P31" s="15">
        <v>45359</v>
      </c>
      <c r="Q31" s="120">
        <v>45359</v>
      </c>
      <c r="R31" s="134"/>
      <c r="S31" s="132"/>
      <c r="T31" s="43"/>
      <c r="U31" s="32"/>
      <c r="V31" s="62"/>
      <c r="W31" s="1" t="str">
        <f t="shared" si="0"/>
        <v>75</v>
      </c>
    </row>
    <row r="32" spans="1:29" x14ac:dyDescent="0.2">
      <c r="A32" s="13" t="s">
        <v>11</v>
      </c>
      <c r="B32" s="22">
        <v>11258244</v>
      </c>
      <c r="C32" s="22">
        <v>-94218</v>
      </c>
      <c r="D32" s="26">
        <v>45050</v>
      </c>
      <c r="E32" s="76">
        <v>45050</v>
      </c>
      <c r="F32" s="22">
        <v>11073191</v>
      </c>
      <c r="G32" s="22">
        <v>151117</v>
      </c>
      <c r="H32" s="17">
        <v>45141</v>
      </c>
      <c r="I32" s="76">
        <v>45141</v>
      </c>
      <c r="J32" s="22">
        <v>10646462</v>
      </c>
      <c r="K32" s="22">
        <v>2720</v>
      </c>
      <c r="L32" s="17">
        <v>45230</v>
      </c>
      <c r="M32" s="76">
        <v>45230</v>
      </c>
      <c r="N32" s="107">
        <v>9839521</v>
      </c>
      <c r="O32" s="22">
        <v>-427838</v>
      </c>
      <c r="P32" s="17">
        <v>45359</v>
      </c>
      <c r="Q32" s="120">
        <v>45359</v>
      </c>
      <c r="R32" s="134"/>
      <c r="S32" s="85"/>
      <c r="T32" s="82"/>
      <c r="U32" s="32"/>
      <c r="V32" s="62"/>
      <c r="W32" s="1" t="str">
        <f t="shared" si="0"/>
        <v>92</v>
      </c>
    </row>
    <row r="33" spans="1:28" x14ac:dyDescent="0.2">
      <c r="A33" s="12" t="s">
        <v>12</v>
      </c>
      <c r="B33" s="21">
        <v>562923</v>
      </c>
      <c r="C33" s="21">
        <v>-4711</v>
      </c>
      <c r="D33" s="27">
        <v>45050</v>
      </c>
      <c r="E33" s="77">
        <v>45050</v>
      </c>
      <c r="F33" s="21">
        <v>553670</v>
      </c>
      <c r="G33" s="21">
        <v>7500</v>
      </c>
      <c r="H33" s="16">
        <v>45141</v>
      </c>
      <c r="I33" s="77">
        <v>45141</v>
      </c>
      <c r="J33" s="21">
        <v>532334</v>
      </c>
      <c r="K33" s="21">
        <v>135</v>
      </c>
      <c r="L33" s="16">
        <v>45230</v>
      </c>
      <c r="M33" s="76">
        <v>45230</v>
      </c>
      <c r="N33" s="108">
        <v>491987</v>
      </c>
      <c r="O33" s="21">
        <v>-21389</v>
      </c>
      <c r="P33" s="16">
        <v>45359</v>
      </c>
      <c r="Q33" s="121">
        <v>45359</v>
      </c>
      <c r="R33" s="111"/>
      <c r="S33" s="24"/>
      <c r="T33" s="83"/>
      <c r="U33" s="25"/>
      <c r="V33" s="62"/>
      <c r="W33" s="1" t="str">
        <f t="shared" si="0"/>
        <v>94</v>
      </c>
    </row>
    <row r="34" spans="1:28" x14ac:dyDescent="0.2">
      <c r="A34" s="11" t="s">
        <v>101</v>
      </c>
      <c r="B34" s="20">
        <v>423991</v>
      </c>
      <c r="C34" s="20">
        <v>-2147</v>
      </c>
      <c r="D34" s="26">
        <v>45058</v>
      </c>
      <c r="E34" s="76">
        <v>45058</v>
      </c>
      <c r="F34" s="20">
        <v>451999</v>
      </c>
      <c r="G34" s="20">
        <v>9748</v>
      </c>
      <c r="H34" s="15">
        <v>45138</v>
      </c>
      <c r="I34" s="76">
        <v>45138</v>
      </c>
      <c r="J34" s="20">
        <v>456222</v>
      </c>
      <c r="K34" s="20">
        <v>-18395</v>
      </c>
      <c r="L34" s="15">
        <v>45230</v>
      </c>
      <c r="M34" s="76">
        <v>45230</v>
      </c>
      <c r="N34" s="107">
        <v>444591</v>
      </c>
      <c r="O34" s="20">
        <v>-11631</v>
      </c>
      <c r="P34" s="15">
        <v>45322</v>
      </c>
      <c r="Q34" s="120">
        <v>45322</v>
      </c>
      <c r="R34" s="134"/>
      <c r="S34" s="132"/>
      <c r="T34" s="43"/>
      <c r="U34" s="32"/>
      <c r="V34" s="62"/>
      <c r="W34" s="1" t="str">
        <f t="shared" si="0"/>
        <v>75</v>
      </c>
    </row>
    <row r="35" spans="1:28" x14ac:dyDescent="0.2">
      <c r="A35" s="13" t="s">
        <v>100</v>
      </c>
      <c r="B35" s="22">
        <v>12770818</v>
      </c>
      <c r="C35" s="22">
        <v>-64678</v>
      </c>
      <c r="D35" s="28">
        <v>45058</v>
      </c>
      <c r="E35" s="76">
        <v>45058</v>
      </c>
      <c r="F35" s="22">
        <v>13614434</v>
      </c>
      <c r="G35" s="22">
        <v>293616</v>
      </c>
      <c r="H35" s="15">
        <v>45138</v>
      </c>
      <c r="I35" s="76">
        <v>45138</v>
      </c>
      <c r="J35" s="22">
        <v>13741636</v>
      </c>
      <c r="K35" s="22">
        <v>-554048</v>
      </c>
      <c r="L35" s="17">
        <v>45230</v>
      </c>
      <c r="M35" s="76">
        <v>45230</v>
      </c>
      <c r="N35" s="107">
        <v>13391282</v>
      </c>
      <c r="O35" s="22">
        <v>-350354</v>
      </c>
      <c r="P35" s="17">
        <v>45322</v>
      </c>
      <c r="Q35" s="120">
        <v>45322</v>
      </c>
      <c r="R35" s="134"/>
      <c r="S35" s="85"/>
      <c r="T35" s="82"/>
      <c r="U35" s="32"/>
      <c r="V35" s="62"/>
      <c r="W35" s="1" t="str">
        <f t="shared" si="0"/>
        <v>92</v>
      </c>
    </row>
    <row r="36" spans="1:28" x14ac:dyDescent="0.2">
      <c r="A36" s="12" t="s">
        <v>15</v>
      </c>
      <c r="B36" s="21">
        <v>1277082</v>
      </c>
      <c r="C36" s="21">
        <v>-6468</v>
      </c>
      <c r="D36" s="27">
        <v>45058</v>
      </c>
      <c r="E36" s="77">
        <v>45058</v>
      </c>
      <c r="F36" s="21">
        <v>1361444</v>
      </c>
      <c r="G36" s="21">
        <v>29362</v>
      </c>
      <c r="H36" s="15">
        <v>45138</v>
      </c>
      <c r="I36" s="77">
        <v>45138</v>
      </c>
      <c r="J36" s="21">
        <v>1374164</v>
      </c>
      <c r="K36" s="21">
        <v>-55405</v>
      </c>
      <c r="L36" s="16">
        <v>45230</v>
      </c>
      <c r="M36" s="76">
        <v>45230</v>
      </c>
      <c r="N36" s="108">
        <v>1339128</v>
      </c>
      <c r="O36" s="21">
        <v>-35036</v>
      </c>
      <c r="P36" s="16">
        <v>45322</v>
      </c>
      <c r="Q36" s="120">
        <v>45322</v>
      </c>
      <c r="R36" s="111"/>
      <c r="S36" s="24"/>
      <c r="T36" s="83"/>
      <c r="U36" s="32"/>
      <c r="V36" s="62"/>
      <c r="W36" s="1" t="str">
        <f t="shared" si="0"/>
        <v>94</v>
      </c>
    </row>
    <row r="37" spans="1:28" x14ac:dyDescent="0.2">
      <c r="A37" s="11" t="s">
        <v>102</v>
      </c>
      <c r="B37" s="20">
        <v>1345011.29</v>
      </c>
      <c r="C37" s="20">
        <v>-26733.709999999963</v>
      </c>
      <c r="D37" s="29">
        <v>45034</v>
      </c>
      <c r="E37" s="76">
        <v>45034</v>
      </c>
      <c r="F37" s="20">
        <v>1271756.8400000001</v>
      </c>
      <c r="G37" s="20">
        <v>-28678.790000000037</v>
      </c>
      <c r="H37" s="15">
        <v>45125</v>
      </c>
      <c r="I37" s="76">
        <v>45125</v>
      </c>
      <c r="J37" s="20">
        <v>1180783.3999999999</v>
      </c>
      <c r="K37" s="20">
        <v>-46027.330000000075</v>
      </c>
      <c r="L37" s="26">
        <v>45212</v>
      </c>
      <c r="M37" s="76">
        <v>45216</v>
      </c>
      <c r="N37" s="20">
        <v>1074041.24</v>
      </c>
      <c r="O37" s="20">
        <v>-55166.649999999907</v>
      </c>
      <c r="P37" s="15">
        <v>45308</v>
      </c>
      <c r="Q37" s="120">
        <v>44944</v>
      </c>
      <c r="R37" s="132"/>
      <c r="S37" s="132"/>
      <c r="T37" s="43"/>
      <c r="U37" s="32"/>
      <c r="V37" s="62"/>
      <c r="W37" s="1" t="str">
        <f t="shared" si="0"/>
        <v>75</v>
      </c>
      <c r="AA37" s="23">
        <f>+N38-'[1]Reg. Llamados y Distribucion'!$J$1143-'[1]Reg. Llamados y Distribucion'!$J$1438</f>
        <v>24858656</v>
      </c>
    </row>
    <row r="38" spans="1:28" x14ac:dyDescent="0.2">
      <c r="A38" s="13" t="s">
        <v>103</v>
      </c>
      <c r="B38" s="22">
        <v>31685306.289999999</v>
      </c>
      <c r="C38" s="22">
        <v>-584523.49000000209</v>
      </c>
      <c r="D38" s="26">
        <v>45034</v>
      </c>
      <c r="E38" s="76">
        <v>45034</v>
      </c>
      <c r="F38" s="22">
        <v>29959603.73</v>
      </c>
      <c r="G38" s="20">
        <v>-648134.75</v>
      </c>
      <c r="H38" s="17">
        <v>45125</v>
      </c>
      <c r="I38" s="76">
        <v>45125</v>
      </c>
      <c r="J38" s="22">
        <v>27816483.109999999</v>
      </c>
      <c r="K38" s="22">
        <v>-1041966.2100000009</v>
      </c>
      <c r="L38" s="28">
        <v>45212</v>
      </c>
      <c r="M38" s="76">
        <v>45216</v>
      </c>
      <c r="N38" s="20">
        <v>25301888.68</v>
      </c>
      <c r="O38" s="20">
        <v>-1297457.0099999979</v>
      </c>
      <c r="P38" s="17">
        <v>45308</v>
      </c>
      <c r="Q38" s="120">
        <v>44944</v>
      </c>
      <c r="R38" s="132"/>
      <c r="S38" s="132"/>
      <c r="T38" s="82"/>
      <c r="U38" s="32"/>
      <c r="V38" s="62"/>
      <c r="W38" s="1" t="str">
        <f t="shared" si="0"/>
        <v>92</v>
      </c>
      <c r="AA38" s="23">
        <f>+'[1]Reg. Llamados y Distribucion'!$J$1143-'[1]Reg. Llamados y Distribucion'!$J$1438</f>
        <v>28271</v>
      </c>
      <c r="AB38" s="23"/>
    </row>
    <row r="39" spans="1:28" x14ac:dyDescent="0.2">
      <c r="A39" s="12" t="s">
        <v>61</v>
      </c>
      <c r="B39" s="21">
        <v>2807003.17</v>
      </c>
      <c r="C39" s="21">
        <v>-50586.550000000279</v>
      </c>
      <c r="D39" s="30">
        <v>45034</v>
      </c>
      <c r="E39" s="77">
        <v>45034</v>
      </c>
      <c r="F39" s="21">
        <v>2654123.08</v>
      </c>
      <c r="G39" s="24">
        <v>-57418.290000000037</v>
      </c>
      <c r="H39" s="16">
        <v>45125</v>
      </c>
      <c r="I39" s="77">
        <v>45125</v>
      </c>
      <c r="J39" s="21">
        <v>2464263.91</v>
      </c>
      <c r="K39" s="21">
        <v>-92307.839999999851</v>
      </c>
      <c r="L39" s="27">
        <v>45212</v>
      </c>
      <c r="M39" s="76">
        <v>45216</v>
      </c>
      <c r="N39" s="24">
        <v>2241495.84</v>
      </c>
      <c r="O39" s="24">
        <v>-114907.31000000052</v>
      </c>
      <c r="P39" s="16">
        <v>45308</v>
      </c>
      <c r="Q39" s="120">
        <v>44944</v>
      </c>
      <c r="R39" s="24"/>
      <c r="S39" s="24"/>
      <c r="T39" s="83"/>
      <c r="U39" s="32"/>
      <c r="V39" s="62"/>
      <c r="W39" s="1" t="str">
        <f t="shared" si="0"/>
        <v>94</v>
      </c>
    </row>
    <row r="40" spans="1:28" x14ac:dyDescent="0.2">
      <c r="A40" s="11" t="s">
        <v>122</v>
      </c>
      <c r="B40" s="20">
        <v>1132633.1399999999</v>
      </c>
      <c r="C40" s="20">
        <v>19859.559999999823</v>
      </c>
      <c r="D40" s="26">
        <v>45062</v>
      </c>
      <c r="E40" s="76">
        <f>+D40</f>
        <v>45062</v>
      </c>
      <c r="F40" s="20">
        <v>1139811.95</v>
      </c>
      <c r="G40" s="20">
        <v>19605.199999999953</v>
      </c>
      <c r="H40" s="15">
        <v>45153</v>
      </c>
      <c r="I40" s="77">
        <v>45154</v>
      </c>
      <c r="J40" s="20">
        <v>1157899.77</v>
      </c>
      <c r="K40" s="20">
        <v>18087.820000000065</v>
      </c>
      <c r="L40" s="26">
        <v>45250</v>
      </c>
      <c r="M40" s="76">
        <v>45251</v>
      </c>
      <c r="N40" s="107">
        <v>331789.23</v>
      </c>
      <c r="O40" s="20">
        <v>-826110.54</v>
      </c>
      <c r="P40" s="15">
        <v>45393</v>
      </c>
      <c r="Q40" s="120">
        <f ca="1">TODAY()</f>
        <v>46020</v>
      </c>
      <c r="R40" s="134"/>
      <c r="S40" s="132"/>
      <c r="T40" s="43"/>
      <c r="U40" s="32"/>
      <c r="V40" s="62"/>
      <c r="W40" s="1" t="str">
        <f t="shared" si="0"/>
        <v>92</v>
      </c>
    </row>
    <row r="41" spans="1:28" x14ac:dyDescent="0.2">
      <c r="A41" s="12" t="s">
        <v>123</v>
      </c>
      <c r="B41" s="21">
        <v>753149.99</v>
      </c>
      <c r="C41" s="21">
        <v>10211.119999999995</v>
      </c>
      <c r="D41" s="27">
        <v>45062</v>
      </c>
      <c r="E41" s="76">
        <f>+D41</f>
        <v>45062</v>
      </c>
      <c r="F41" s="21">
        <v>779494.51</v>
      </c>
      <c r="G41" s="21">
        <v>26344.520000000019</v>
      </c>
      <c r="H41" s="15">
        <v>45153</v>
      </c>
      <c r="I41" s="77">
        <v>45154</v>
      </c>
      <c r="J41" s="21">
        <v>826841.59</v>
      </c>
      <c r="K41" s="21">
        <v>47347.08</v>
      </c>
      <c r="L41" s="27">
        <v>45250</v>
      </c>
      <c r="M41" s="76">
        <v>45251</v>
      </c>
      <c r="N41" s="111">
        <v>45491.72</v>
      </c>
      <c r="O41" s="21">
        <v>-781349.87</v>
      </c>
      <c r="P41" s="16">
        <v>45393</v>
      </c>
      <c r="Q41" s="120">
        <f ca="1">TODAY()</f>
        <v>46020</v>
      </c>
      <c r="R41" s="111"/>
      <c r="S41" s="24"/>
      <c r="T41" s="83"/>
      <c r="U41" s="32"/>
      <c r="V41" s="62"/>
      <c r="W41" s="1" t="str">
        <f t="shared" si="0"/>
        <v>92</v>
      </c>
    </row>
    <row r="42" spans="1:28" x14ac:dyDescent="0.2">
      <c r="A42" s="12" t="s">
        <v>18</v>
      </c>
      <c r="B42" s="21">
        <v>1219794</v>
      </c>
      <c r="C42" s="21">
        <v>-31782</v>
      </c>
      <c r="D42" s="27">
        <v>45112</v>
      </c>
      <c r="E42" s="77">
        <v>45112</v>
      </c>
      <c r="F42" s="21">
        <v>1143016</v>
      </c>
      <c r="G42" s="21">
        <v>-3817</v>
      </c>
      <c r="H42" s="16">
        <v>45169</v>
      </c>
      <c r="I42" s="77">
        <v>45170</v>
      </c>
      <c r="J42" s="21">
        <v>1099612</v>
      </c>
      <c r="K42" s="21">
        <v>12048</v>
      </c>
      <c r="L42" s="27">
        <v>45260</v>
      </c>
      <c r="M42" s="101">
        <v>45260</v>
      </c>
      <c r="N42" s="72">
        <v>1037009</v>
      </c>
      <c r="O42" s="21">
        <v>-34650</v>
      </c>
      <c r="P42" s="16">
        <v>45363</v>
      </c>
      <c r="Q42" s="120">
        <v>45364</v>
      </c>
      <c r="R42" s="136"/>
      <c r="S42" s="24"/>
      <c r="T42" s="83"/>
      <c r="U42" s="32"/>
      <c r="V42" s="62"/>
      <c r="W42" s="1" t="str">
        <f t="shared" si="0"/>
        <v>CP</v>
      </c>
    </row>
    <row r="43" spans="1:28" x14ac:dyDescent="0.2">
      <c r="A43" s="11" t="s">
        <v>19</v>
      </c>
      <c r="B43" s="20">
        <v>13678262</v>
      </c>
      <c r="C43" s="20">
        <v>-718241</v>
      </c>
      <c r="D43" s="26">
        <v>45076</v>
      </c>
      <c r="E43" s="77">
        <f>+D43+1</f>
        <v>45077</v>
      </c>
      <c r="F43" s="20">
        <v>14002451</v>
      </c>
      <c r="G43" s="20">
        <v>324189</v>
      </c>
      <c r="H43" s="15">
        <v>45167</v>
      </c>
      <c r="I43" s="76">
        <v>45168</v>
      </c>
      <c r="J43" s="20">
        <v>14986170</v>
      </c>
      <c r="K43" s="20">
        <v>983719</v>
      </c>
      <c r="L43" s="26">
        <v>45260</v>
      </c>
      <c r="M43" s="26">
        <v>45260</v>
      </c>
      <c r="N43" s="20">
        <v>14662875</v>
      </c>
      <c r="O43" s="20">
        <v>-215228</v>
      </c>
      <c r="P43" s="15">
        <v>45383</v>
      </c>
      <c r="Q43" s="26">
        <v>45383</v>
      </c>
      <c r="R43" s="132"/>
      <c r="S43" s="132"/>
      <c r="T43" s="43"/>
      <c r="U43" s="43"/>
      <c r="V43" s="139"/>
      <c r="W43" s="1" t="str">
        <f t="shared" si="0"/>
        <v>92</v>
      </c>
    </row>
    <row r="44" spans="1:28" x14ac:dyDescent="0.2">
      <c r="A44" s="13" t="s">
        <v>20</v>
      </c>
      <c r="B44" s="22">
        <v>625292</v>
      </c>
      <c r="C44" s="22">
        <v>-32834</v>
      </c>
      <c r="D44" s="28">
        <v>45076</v>
      </c>
      <c r="E44" s="77">
        <f t="shared" ref="E44:E45" si="1">+D44+1</f>
        <v>45077</v>
      </c>
      <c r="F44" s="22">
        <v>640112</v>
      </c>
      <c r="G44" s="22">
        <v>14820</v>
      </c>
      <c r="H44" s="17">
        <v>45167</v>
      </c>
      <c r="I44" s="76">
        <v>45168</v>
      </c>
      <c r="J44" s="22">
        <v>685082</v>
      </c>
      <c r="K44" s="22">
        <v>44970</v>
      </c>
      <c r="L44" s="28">
        <v>45260</v>
      </c>
      <c r="M44" s="28">
        <v>45260</v>
      </c>
      <c r="N44" s="22">
        <v>670302</v>
      </c>
      <c r="O44" s="22">
        <v>-9819</v>
      </c>
      <c r="P44" s="17">
        <v>45383</v>
      </c>
      <c r="Q44" s="26">
        <v>45383</v>
      </c>
      <c r="R44" s="85"/>
      <c r="S44" s="85"/>
      <c r="T44" s="82"/>
      <c r="U44" s="43"/>
      <c r="V44" s="139"/>
      <c r="W44" s="1" t="str">
        <f t="shared" si="0"/>
        <v>94</v>
      </c>
    </row>
    <row r="45" spans="1:28" x14ac:dyDescent="0.2">
      <c r="A45" s="12" t="s">
        <v>21</v>
      </c>
      <c r="B45" s="21">
        <v>312646</v>
      </c>
      <c r="C45" s="21">
        <v>-16417</v>
      </c>
      <c r="D45" s="27">
        <v>45076</v>
      </c>
      <c r="E45" s="77">
        <f t="shared" si="1"/>
        <v>45077</v>
      </c>
      <c r="F45" s="21">
        <v>320056</v>
      </c>
      <c r="G45" s="21">
        <v>7410</v>
      </c>
      <c r="H45" s="16">
        <v>45167</v>
      </c>
      <c r="I45" s="76">
        <v>45168</v>
      </c>
      <c r="J45" s="21">
        <v>342541</v>
      </c>
      <c r="K45" s="21">
        <v>22485</v>
      </c>
      <c r="L45" s="27">
        <v>45260</v>
      </c>
      <c r="M45" s="27">
        <v>45260</v>
      </c>
      <c r="N45" s="21">
        <v>335152</v>
      </c>
      <c r="O45" s="21">
        <v>-4996</v>
      </c>
      <c r="P45" s="16">
        <v>45383</v>
      </c>
      <c r="Q45" s="27">
        <v>45383</v>
      </c>
      <c r="R45" s="24"/>
      <c r="S45" s="24"/>
      <c r="T45" s="83"/>
      <c r="U45" s="83"/>
      <c r="V45" s="139"/>
      <c r="W45" s="1" t="str">
        <f t="shared" si="0"/>
        <v>75</v>
      </c>
    </row>
    <row r="46" spans="1:28" x14ac:dyDescent="0.2">
      <c r="A46" s="48" t="s">
        <v>44</v>
      </c>
      <c r="B46" s="49">
        <v>6148640</v>
      </c>
      <c r="C46" s="49">
        <v>-107981</v>
      </c>
      <c r="D46" s="50">
        <v>45107</v>
      </c>
      <c r="E46" s="77">
        <v>45107</v>
      </c>
      <c r="F46" s="49">
        <v>6120326</v>
      </c>
      <c r="G46" s="49">
        <v>-28314</v>
      </c>
      <c r="H46" s="50">
        <v>45198</v>
      </c>
      <c r="I46" s="77">
        <v>45198</v>
      </c>
      <c r="J46" s="49">
        <v>5913044</v>
      </c>
      <c r="K46" s="49">
        <v>-285627</v>
      </c>
      <c r="L46" s="50">
        <v>45286</v>
      </c>
      <c r="M46" s="80">
        <v>45286</v>
      </c>
      <c r="N46" s="112">
        <v>6022449</v>
      </c>
      <c r="O46" s="49">
        <v>109405</v>
      </c>
      <c r="P46" s="52">
        <v>45471</v>
      </c>
      <c r="Q46" s="122">
        <v>45471</v>
      </c>
      <c r="R46" s="140"/>
      <c r="S46" s="141"/>
      <c r="T46" s="142"/>
      <c r="U46" s="51"/>
      <c r="V46" s="62"/>
      <c r="W46" s="1" t="str">
        <f t="shared" si="0"/>
        <v>92</v>
      </c>
    </row>
    <row r="47" spans="1:28" x14ac:dyDescent="0.2">
      <c r="A47" s="11" t="s">
        <v>36</v>
      </c>
      <c r="B47" s="20">
        <v>4240837</v>
      </c>
      <c r="C47" s="20">
        <v>60003</v>
      </c>
      <c r="D47" s="26">
        <v>45107</v>
      </c>
      <c r="E47" s="77">
        <v>45107</v>
      </c>
      <c r="F47" s="20">
        <v>4662899</v>
      </c>
      <c r="G47" s="84">
        <v>23065</v>
      </c>
      <c r="H47" s="26">
        <v>45196</v>
      </c>
      <c r="I47" s="77">
        <v>45198</v>
      </c>
      <c r="J47" s="20">
        <v>4581278</v>
      </c>
      <c r="K47" s="20">
        <v>-81621</v>
      </c>
      <c r="L47" s="26">
        <v>45286</v>
      </c>
      <c r="M47" s="76">
        <v>45286</v>
      </c>
      <c r="N47" s="107">
        <v>4789690</v>
      </c>
      <c r="O47" s="20">
        <v>221051</v>
      </c>
      <c r="P47" s="15">
        <v>45471</v>
      </c>
      <c r="Q47" s="122">
        <v>45471</v>
      </c>
      <c r="R47" s="134"/>
      <c r="S47" s="132"/>
      <c r="T47" s="43"/>
      <c r="U47" s="51"/>
      <c r="V47" s="62"/>
      <c r="W47" s="1" t="str">
        <f t="shared" si="0"/>
        <v>94</v>
      </c>
    </row>
    <row r="48" spans="1:28" x14ac:dyDescent="0.2">
      <c r="A48" s="54" t="s">
        <v>37</v>
      </c>
      <c r="B48" s="55">
        <v>2544502</v>
      </c>
      <c r="C48" s="55">
        <v>36002</v>
      </c>
      <c r="D48" s="56">
        <v>45107</v>
      </c>
      <c r="E48" s="77">
        <v>45107</v>
      </c>
      <c r="F48" s="55">
        <v>2797740</v>
      </c>
      <c r="G48" s="85">
        <v>13840</v>
      </c>
      <c r="H48" s="56">
        <v>45196</v>
      </c>
      <c r="I48" s="77">
        <v>45198</v>
      </c>
      <c r="J48" s="55">
        <v>2748767</v>
      </c>
      <c r="K48" s="55">
        <v>-48973</v>
      </c>
      <c r="L48" s="56">
        <v>45286</v>
      </c>
      <c r="M48" s="76">
        <v>45286</v>
      </c>
      <c r="N48" s="110">
        <v>2873813</v>
      </c>
      <c r="O48" s="55">
        <v>132630</v>
      </c>
      <c r="P48" s="58">
        <v>45471</v>
      </c>
      <c r="Q48" s="122">
        <v>45471</v>
      </c>
      <c r="R48" s="138"/>
      <c r="S48" s="143"/>
      <c r="T48" s="144"/>
      <c r="U48" s="51"/>
      <c r="V48" s="62"/>
      <c r="W48" s="1" t="str">
        <f t="shared" si="0"/>
        <v>95</v>
      </c>
    </row>
    <row r="49" spans="1:27" x14ac:dyDescent="0.2">
      <c r="A49" s="54" t="s">
        <v>63</v>
      </c>
      <c r="B49" s="44">
        <v>1696336</v>
      </c>
      <c r="C49" s="44">
        <v>24000</v>
      </c>
      <c r="D49" s="45">
        <v>45107</v>
      </c>
      <c r="E49" s="77">
        <v>45107</v>
      </c>
      <c r="F49" s="44">
        <v>1865163</v>
      </c>
      <c r="G49" s="85">
        <v>9228</v>
      </c>
      <c r="H49" s="63">
        <v>45196</v>
      </c>
      <c r="I49" s="77">
        <v>45198</v>
      </c>
      <c r="J49" s="44">
        <v>1832514</v>
      </c>
      <c r="K49" s="44">
        <v>-32649</v>
      </c>
      <c r="L49" s="45">
        <v>45286</v>
      </c>
      <c r="M49" s="76">
        <v>45286</v>
      </c>
      <c r="N49" s="110">
        <v>1915880</v>
      </c>
      <c r="O49" s="44">
        <v>88421</v>
      </c>
      <c r="P49" s="46">
        <v>45471</v>
      </c>
      <c r="Q49" s="122">
        <v>45471</v>
      </c>
      <c r="R49" s="138"/>
      <c r="S49" s="145"/>
      <c r="T49" s="139"/>
      <c r="U49" s="51"/>
      <c r="V49" s="62"/>
      <c r="W49" s="1" t="str">
        <f t="shared" si="0"/>
        <v>BA</v>
      </c>
    </row>
    <row r="50" spans="1:27" x14ac:dyDescent="0.2">
      <c r="A50" s="54" t="s">
        <v>64</v>
      </c>
      <c r="B50" s="44">
        <v>424084</v>
      </c>
      <c r="C50" s="44">
        <v>6001</v>
      </c>
      <c r="D50" s="45">
        <v>45107</v>
      </c>
      <c r="E50" s="77">
        <v>45107</v>
      </c>
      <c r="F50" s="44">
        <v>466291</v>
      </c>
      <c r="G50" s="85">
        <v>2307</v>
      </c>
      <c r="H50" s="63">
        <v>45196</v>
      </c>
      <c r="I50" s="77">
        <v>45198</v>
      </c>
      <c r="J50" s="44">
        <v>458129</v>
      </c>
      <c r="K50" s="44">
        <v>-8162</v>
      </c>
      <c r="L50" s="45">
        <v>45286</v>
      </c>
      <c r="M50" s="47"/>
      <c r="N50" s="110">
        <v>478970</v>
      </c>
      <c r="O50" s="44">
        <v>22105</v>
      </c>
      <c r="P50" s="46">
        <v>45471</v>
      </c>
      <c r="Q50" s="123"/>
      <c r="R50" s="138"/>
      <c r="S50" s="145"/>
      <c r="T50" s="139"/>
      <c r="U50" s="139"/>
      <c r="V50" s="139"/>
      <c r="W50" s="1" t="str">
        <f t="shared" si="0"/>
        <v>29</v>
      </c>
    </row>
    <row r="51" spans="1:27" x14ac:dyDescent="0.2">
      <c r="A51" s="12" t="s">
        <v>65</v>
      </c>
      <c r="B51" s="21">
        <v>339265</v>
      </c>
      <c r="C51" s="21">
        <v>4800</v>
      </c>
      <c r="D51" s="27">
        <v>45107</v>
      </c>
      <c r="E51" s="77">
        <v>45107</v>
      </c>
      <c r="F51" s="21">
        <v>373033</v>
      </c>
      <c r="G51" s="24">
        <v>1848</v>
      </c>
      <c r="H51" s="64">
        <v>45196</v>
      </c>
      <c r="I51" s="77">
        <v>45198</v>
      </c>
      <c r="J51" s="21">
        <v>366502</v>
      </c>
      <c r="K51" s="21">
        <v>-6531</v>
      </c>
      <c r="L51" s="27">
        <v>45286</v>
      </c>
      <c r="M51" s="5"/>
      <c r="N51" s="110">
        <v>383177</v>
      </c>
      <c r="O51" s="44">
        <v>17686</v>
      </c>
      <c r="P51" s="16">
        <v>45471</v>
      </c>
      <c r="Q51" s="124"/>
      <c r="R51" s="138"/>
      <c r="S51" s="145"/>
      <c r="T51" s="83"/>
      <c r="U51" s="83"/>
      <c r="V51" s="139"/>
      <c r="W51" s="1" t="str">
        <f t="shared" si="0"/>
        <v>31</v>
      </c>
    </row>
    <row r="52" spans="1:27" ht="12.6" x14ac:dyDescent="0.2">
      <c r="A52" s="11" t="s">
        <v>22</v>
      </c>
      <c r="B52" s="20">
        <v>1849190</v>
      </c>
      <c r="C52" s="20">
        <v>-91670</v>
      </c>
      <c r="D52" s="26">
        <v>45062</v>
      </c>
      <c r="E52" s="76">
        <f>+D52</f>
        <v>45062</v>
      </c>
      <c r="F52" s="20">
        <v>1921568</v>
      </c>
      <c r="G52" s="20">
        <v>-27565</v>
      </c>
      <c r="H52" s="15">
        <v>45152</v>
      </c>
      <c r="I52" s="76">
        <v>45153</v>
      </c>
      <c r="J52" s="20">
        <v>1753041</v>
      </c>
      <c r="K52" s="20">
        <v>-201841</v>
      </c>
      <c r="L52" s="26">
        <v>45250</v>
      </c>
      <c r="M52" s="76">
        <v>45251</v>
      </c>
      <c r="N52" s="107">
        <v>1602963</v>
      </c>
      <c r="O52" s="20">
        <v>-299992</v>
      </c>
      <c r="P52" s="15">
        <v>45351</v>
      </c>
      <c r="Q52" s="26">
        <v>45351</v>
      </c>
      <c r="R52" s="134"/>
      <c r="S52" s="132"/>
      <c r="T52" s="43"/>
      <c r="U52" s="43"/>
      <c r="V52" s="139"/>
      <c r="W52" s="1" t="str">
        <f t="shared" si="0"/>
        <v>92</v>
      </c>
      <c r="AA52" s="94"/>
    </row>
    <row r="53" spans="1:27" x14ac:dyDescent="0.2">
      <c r="A53" s="13" t="s">
        <v>23</v>
      </c>
      <c r="B53" s="22">
        <v>925652</v>
      </c>
      <c r="C53" s="22">
        <v>-45887</v>
      </c>
      <c r="D53" s="28">
        <v>45062</v>
      </c>
      <c r="E53" s="76">
        <f t="shared" ref="E53:E55" si="2">+D53</f>
        <v>45062</v>
      </c>
      <c r="F53" s="22">
        <v>961882</v>
      </c>
      <c r="G53" s="22">
        <v>-13799</v>
      </c>
      <c r="H53" s="17">
        <v>45152</v>
      </c>
      <c r="I53" s="76">
        <v>45153</v>
      </c>
      <c r="J53" s="22">
        <v>877522</v>
      </c>
      <c r="K53" s="22">
        <v>-101036</v>
      </c>
      <c r="L53" s="28">
        <v>45250</v>
      </c>
      <c r="M53" s="76">
        <v>45251</v>
      </c>
      <c r="N53" s="107">
        <v>802397</v>
      </c>
      <c r="O53" s="22">
        <v>-150168</v>
      </c>
      <c r="P53" s="17">
        <v>45351</v>
      </c>
      <c r="Q53" s="28">
        <v>45351</v>
      </c>
      <c r="R53" s="134"/>
      <c r="S53" s="85"/>
      <c r="T53" s="82"/>
      <c r="U53" s="82"/>
      <c r="V53" s="139"/>
      <c r="W53" s="1" t="str">
        <f t="shared" si="0"/>
        <v>95</v>
      </c>
    </row>
    <row r="54" spans="1:27" x14ac:dyDescent="0.2">
      <c r="A54" s="13" t="s">
        <v>24</v>
      </c>
      <c r="B54" s="22">
        <v>1295490</v>
      </c>
      <c r="C54" s="22">
        <v>-64221</v>
      </c>
      <c r="D54" s="28">
        <v>45062</v>
      </c>
      <c r="E54" s="76">
        <f t="shared" si="2"/>
        <v>45062</v>
      </c>
      <c r="F54" s="22">
        <v>1346196</v>
      </c>
      <c r="G54" s="22">
        <v>-19311</v>
      </c>
      <c r="H54" s="17">
        <v>45152</v>
      </c>
      <c r="I54" s="76">
        <v>45153</v>
      </c>
      <c r="J54" s="22">
        <v>1228130</v>
      </c>
      <c r="K54" s="22">
        <v>-141405</v>
      </c>
      <c r="L54" s="28">
        <v>45250</v>
      </c>
      <c r="M54" s="76">
        <v>45251</v>
      </c>
      <c r="N54" s="107">
        <v>1122990</v>
      </c>
      <c r="O54" s="22">
        <v>-210166</v>
      </c>
      <c r="P54" s="17">
        <v>45351</v>
      </c>
      <c r="Q54" s="28">
        <v>45351</v>
      </c>
      <c r="R54" s="134"/>
      <c r="S54" s="85"/>
      <c r="T54" s="82"/>
      <c r="U54" s="82"/>
      <c r="V54" s="139"/>
      <c r="W54" s="1" t="str">
        <f t="shared" si="0"/>
        <v>DL</v>
      </c>
    </row>
    <row r="55" spans="1:27" x14ac:dyDescent="0.2">
      <c r="A55" s="12" t="s">
        <v>25</v>
      </c>
      <c r="B55" s="21">
        <v>1479352</v>
      </c>
      <c r="C55" s="21">
        <v>-73336</v>
      </c>
      <c r="D55" s="27">
        <v>45062</v>
      </c>
      <c r="E55" s="76">
        <f t="shared" si="2"/>
        <v>45062</v>
      </c>
      <c r="F55" s="21">
        <v>1537255</v>
      </c>
      <c r="G55" s="21">
        <v>-22051</v>
      </c>
      <c r="H55" s="16">
        <v>45152</v>
      </c>
      <c r="I55" s="76">
        <v>45153</v>
      </c>
      <c r="J55" s="21">
        <v>1402432</v>
      </c>
      <c r="K55" s="21">
        <v>-161474</v>
      </c>
      <c r="L55" s="27">
        <v>45250</v>
      </c>
      <c r="M55" s="76">
        <v>45251</v>
      </c>
      <c r="N55" s="110">
        <v>1282370</v>
      </c>
      <c r="O55" s="21">
        <v>-239994</v>
      </c>
      <c r="P55" s="16">
        <v>45351</v>
      </c>
      <c r="Q55" s="27">
        <v>45351</v>
      </c>
      <c r="R55" s="138"/>
      <c r="S55" s="24"/>
      <c r="T55" s="83"/>
      <c r="U55" s="83"/>
      <c r="V55" s="139"/>
      <c r="W55" s="1" t="str">
        <f t="shared" si="0"/>
        <v>DI</v>
      </c>
    </row>
    <row r="56" spans="1:27" x14ac:dyDescent="0.2">
      <c r="A56" s="11" t="s">
        <v>26</v>
      </c>
      <c r="B56" s="20">
        <v>3610199.43</v>
      </c>
      <c r="C56" s="20">
        <v>17842.64000000013</v>
      </c>
      <c r="D56" s="26">
        <v>45072</v>
      </c>
      <c r="E56" s="76">
        <f>+D56</f>
        <v>45072</v>
      </c>
      <c r="F56" s="20">
        <v>3335930.04</v>
      </c>
      <c r="G56" s="20">
        <v>101853.35000000009</v>
      </c>
      <c r="H56" s="26">
        <v>45155</v>
      </c>
      <c r="I56" s="76">
        <v>45156</v>
      </c>
      <c r="J56" s="20">
        <v>3314766.52</v>
      </c>
      <c r="K56" s="20">
        <v>-21163.520000000019</v>
      </c>
      <c r="L56" s="26">
        <v>45265</v>
      </c>
      <c r="M56" s="76">
        <v>45265</v>
      </c>
      <c r="N56" s="107">
        <v>3052146.67</v>
      </c>
      <c r="O56" s="20">
        <v>-23591.570000000298</v>
      </c>
      <c r="P56" s="15">
        <v>45350</v>
      </c>
      <c r="Q56" s="26">
        <v>45350</v>
      </c>
      <c r="R56" s="134"/>
      <c r="S56" s="132"/>
      <c r="T56" s="43"/>
      <c r="U56" s="43"/>
      <c r="V56" s="139"/>
      <c r="W56" s="1" t="str">
        <f t="shared" si="0"/>
        <v>95</v>
      </c>
    </row>
    <row r="57" spans="1:27" x14ac:dyDescent="0.2">
      <c r="A57" s="13" t="s">
        <v>27</v>
      </c>
      <c r="B57" s="22">
        <v>1974327.66</v>
      </c>
      <c r="C57" s="22">
        <v>9757.6799999999348</v>
      </c>
      <c r="D57" s="28">
        <v>45072</v>
      </c>
      <c r="E57" s="76">
        <f t="shared" ref="E57:E62" si="3">+D57</f>
        <v>45072</v>
      </c>
      <c r="F57" s="22">
        <v>1824336.6</v>
      </c>
      <c r="G57" s="22">
        <v>55701.060000000289</v>
      </c>
      <c r="H57" s="28">
        <v>45155</v>
      </c>
      <c r="I57" s="76">
        <v>45156</v>
      </c>
      <c r="J57" s="22">
        <v>1812762.79</v>
      </c>
      <c r="K57" s="22">
        <v>-11573.810000000056</v>
      </c>
      <c r="L57" s="28">
        <v>45265</v>
      </c>
      <c r="M57" s="76">
        <v>45265</v>
      </c>
      <c r="N57" s="107">
        <v>1669142.56</v>
      </c>
      <c r="O57" s="22">
        <v>-12901.639999999898</v>
      </c>
      <c r="P57" s="17">
        <v>45350</v>
      </c>
      <c r="Q57" s="28">
        <v>45350</v>
      </c>
      <c r="R57" s="134"/>
      <c r="S57" s="85"/>
      <c r="T57" s="82"/>
      <c r="U57" s="82"/>
      <c r="V57" s="139"/>
      <c r="W57" s="1" t="str">
        <f t="shared" si="0"/>
        <v>DI</v>
      </c>
    </row>
    <row r="58" spans="1:27" x14ac:dyDescent="0.2">
      <c r="A58" s="13" t="s">
        <v>28</v>
      </c>
      <c r="B58" s="22">
        <v>1410234.07</v>
      </c>
      <c r="C58" s="22">
        <v>6969.7700000000186</v>
      </c>
      <c r="D58" s="28">
        <v>45072</v>
      </c>
      <c r="E58" s="76">
        <f t="shared" si="3"/>
        <v>45072</v>
      </c>
      <c r="F58" s="22">
        <v>1303097.6000000001</v>
      </c>
      <c r="G58" s="22">
        <v>39786.469999999972</v>
      </c>
      <c r="H58" s="28">
        <v>45155</v>
      </c>
      <c r="I58" s="76">
        <v>45156</v>
      </c>
      <c r="J58" s="22">
        <v>1294830.6000000001</v>
      </c>
      <c r="K58" s="22">
        <v>-8267</v>
      </c>
      <c r="L58" s="28">
        <v>45265</v>
      </c>
      <c r="M58" s="76">
        <v>45265</v>
      </c>
      <c r="N58" s="107">
        <v>1192244.72</v>
      </c>
      <c r="O58" s="22">
        <v>-9215.4600000001956</v>
      </c>
      <c r="P58" s="17">
        <v>45350</v>
      </c>
      <c r="Q58" s="28">
        <v>45350</v>
      </c>
      <c r="R58" s="134"/>
      <c r="S58" s="85"/>
      <c r="T58" s="82"/>
      <c r="U58" s="82"/>
      <c r="V58" s="139"/>
      <c r="W58" s="1" t="str">
        <f t="shared" si="0"/>
        <v>DL</v>
      </c>
    </row>
    <row r="59" spans="1:27" x14ac:dyDescent="0.2">
      <c r="A59" s="13" t="s">
        <v>29</v>
      </c>
      <c r="B59" s="22">
        <v>282046.98</v>
      </c>
      <c r="C59" s="22">
        <v>1393.9599999999627</v>
      </c>
      <c r="D59" s="28">
        <v>45072</v>
      </c>
      <c r="E59" s="76">
        <f t="shared" si="3"/>
        <v>45072</v>
      </c>
      <c r="F59" s="22">
        <v>260619.69</v>
      </c>
      <c r="G59" s="22">
        <v>7957.3000000000175</v>
      </c>
      <c r="H59" s="28">
        <v>45155</v>
      </c>
      <c r="I59" s="76">
        <v>45156</v>
      </c>
      <c r="J59" s="22">
        <v>258966.28</v>
      </c>
      <c r="K59" s="22">
        <v>-1653.4100000000035</v>
      </c>
      <c r="L59" s="28">
        <v>45265</v>
      </c>
      <c r="M59" s="76">
        <v>45265</v>
      </c>
      <c r="N59" s="107">
        <v>238449.1</v>
      </c>
      <c r="O59" s="22">
        <v>-1843.0899999999965</v>
      </c>
      <c r="P59" s="17">
        <v>45350</v>
      </c>
      <c r="Q59" s="28">
        <v>45350</v>
      </c>
      <c r="R59" s="134"/>
      <c r="S59" s="85"/>
      <c r="T59" s="82"/>
      <c r="U59" s="82"/>
      <c r="V59" s="139"/>
      <c r="W59" s="1" t="str">
        <f t="shared" si="0"/>
        <v>DD</v>
      </c>
    </row>
    <row r="60" spans="1:27" x14ac:dyDescent="0.2">
      <c r="A60" s="13" t="s">
        <v>30</v>
      </c>
      <c r="B60" s="22">
        <v>282046.98</v>
      </c>
      <c r="C60" s="22">
        <v>1393.9599999999627</v>
      </c>
      <c r="D60" s="28">
        <v>45072</v>
      </c>
      <c r="E60" s="76">
        <f t="shared" si="3"/>
        <v>45072</v>
      </c>
      <c r="F60" s="22">
        <v>260619.69</v>
      </c>
      <c r="G60" s="22">
        <v>7957.3000000000175</v>
      </c>
      <c r="H60" s="28">
        <v>45155</v>
      </c>
      <c r="I60" s="76">
        <v>45156</v>
      </c>
      <c r="J60" s="22">
        <v>258966.28</v>
      </c>
      <c r="K60" s="22">
        <v>-1653.4100000000035</v>
      </c>
      <c r="L60" s="28">
        <v>45265</v>
      </c>
      <c r="M60" s="76">
        <v>45265</v>
      </c>
      <c r="N60" s="107">
        <v>238449.1</v>
      </c>
      <c r="O60" s="22">
        <v>-1843.0899999999965</v>
      </c>
      <c r="P60" s="17">
        <v>45350</v>
      </c>
      <c r="Q60" s="28">
        <v>45350</v>
      </c>
      <c r="R60" s="134"/>
      <c r="S60" s="85"/>
      <c r="T60" s="82"/>
      <c r="U60" s="82"/>
      <c r="V60" s="139"/>
      <c r="W60" s="1" t="str">
        <f t="shared" si="0"/>
        <v>MW</v>
      </c>
    </row>
    <row r="61" spans="1:27" x14ac:dyDescent="0.2">
      <c r="A61" s="13" t="s">
        <v>31</v>
      </c>
      <c r="B61" s="22">
        <v>1128187.27</v>
      </c>
      <c r="C61" s="22">
        <v>5575.8100000000559</v>
      </c>
      <c r="D61" s="28">
        <v>45072</v>
      </c>
      <c r="E61" s="76">
        <f t="shared" si="3"/>
        <v>45072</v>
      </c>
      <c r="F61" s="22">
        <v>1042478.08</v>
      </c>
      <c r="G61" s="22">
        <v>31829.169999999925</v>
      </c>
      <c r="H61" s="28">
        <v>45155</v>
      </c>
      <c r="I61" s="76">
        <v>45156</v>
      </c>
      <c r="J61" s="22">
        <v>1035864.49</v>
      </c>
      <c r="K61" s="22">
        <v>-6613.5899999999674</v>
      </c>
      <c r="L61" s="28">
        <v>45265</v>
      </c>
      <c r="M61" s="76">
        <v>45265</v>
      </c>
      <c r="N61" s="107">
        <v>953795.79</v>
      </c>
      <c r="O61" s="22">
        <v>-7372.3699999998789</v>
      </c>
      <c r="P61" s="17">
        <v>45350</v>
      </c>
      <c r="Q61" s="28">
        <v>45350</v>
      </c>
      <c r="R61" s="134"/>
      <c r="S61" s="85"/>
      <c r="T61" s="82"/>
      <c r="U61" s="82"/>
      <c r="V61" s="139"/>
      <c r="W61" s="1" t="str">
        <f t="shared" si="0"/>
        <v>VP</v>
      </c>
    </row>
    <row r="62" spans="1:27" x14ac:dyDescent="0.2">
      <c r="A62" s="12" t="s">
        <v>32</v>
      </c>
      <c r="B62" s="21">
        <v>507684.31</v>
      </c>
      <c r="C62" s="21">
        <v>2509.1300000000047</v>
      </c>
      <c r="D62" s="27">
        <v>45072</v>
      </c>
      <c r="E62" s="76">
        <f t="shared" si="3"/>
        <v>45072</v>
      </c>
      <c r="F62" s="21">
        <v>469115.16</v>
      </c>
      <c r="G62" s="21">
        <v>14323.129999999946</v>
      </c>
      <c r="H62" s="27">
        <v>45155</v>
      </c>
      <c r="I62" s="76">
        <v>45156</v>
      </c>
      <c r="J62" s="21">
        <v>466139.03</v>
      </c>
      <c r="K62" s="21">
        <v>-2976.1299999999464</v>
      </c>
      <c r="L62" s="27">
        <v>45265</v>
      </c>
      <c r="M62" s="76">
        <v>45265</v>
      </c>
      <c r="N62" s="110">
        <v>429208.12</v>
      </c>
      <c r="O62" s="21">
        <v>-3317.5500000000466</v>
      </c>
      <c r="P62" s="16">
        <v>45350</v>
      </c>
      <c r="Q62" s="28">
        <v>45350</v>
      </c>
      <c r="R62" s="138"/>
      <c r="S62" s="24"/>
      <c r="T62" s="83"/>
      <c r="U62" s="82"/>
      <c r="V62" s="139"/>
      <c r="W62" s="1" t="str">
        <f t="shared" si="0"/>
        <v>BA</v>
      </c>
    </row>
    <row r="63" spans="1:27" x14ac:dyDescent="0.2">
      <c r="A63" s="11" t="s">
        <v>33</v>
      </c>
      <c r="B63" s="20">
        <v>8402651.9199999999</v>
      </c>
      <c r="C63" s="22">
        <v>-55075.779999999329</v>
      </c>
      <c r="D63" s="29">
        <v>45034</v>
      </c>
      <c r="E63" s="76">
        <v>45034</v>
      </c>
      <c r="F63" s="20">
        <v>9997323.3200000003</v>
      </c>
      <c r="G63" s="20">
        <v>-107577.30999999866</v>
      </c>
      <c r="H63" s="15">
        <v>45125</v>
      </c>
      <c r="I63" s="76">
        <v>45125</v>
      </c>
      <c r="J63" s="20">
        <v>9036282.4900000002</v>
      </c>
      <c r="K63" s="20">
        <v>-296351.8200000003</v>
      </c>
      <c r="L63" s="26">
        <v>45212</v>
      </c>
      <c r="M63" s="76">
        <v>45216</v>
      </c>
      <c r="N63" s="20">
        <v>7961706.1799999997</v>
      </c>
      <c r="O63" s="20">
        <v>-150345.98000000045</v>
      </c>
      <c r="P63" s="15">
        <v>45308</v>
      </c>
      <c r="Q63" s="120">
        <v>44944</v>
      </c>
      <c r="R63" s="132"/>
      <c r="S63" s="132"/>
      <c r="T63" s="43"/>
      <c r="U63" s="32"/>
      <c r="V63" s="62"/>
      <c r="W63" s="1" t="str">
        <f t="shared" si="0"/>
        <v>92</v>
      </c>
    </row>
    <row r="64" spans="1:27" x14ac:dyDescent="0.2">
      <c r="A64" s="13" t="s">
        <v>34</v>
      </c>
      <c r="B64" s="22">
        <v>1400441.81</v>
      </c>
      <c r="C64" s="22">
        <v>-9179.2899999998044</v>
      </c>
      <c r="D64" s="26">
        <v>45034</v>
      </c>
      <c r="E64" s="76">
        <v>45034</v>
      </c>
      <c r="F64" s="22">
        <v>1666220.4</v>
      </c>
      <c r="G64" s="22">
        <v>-17929.530000000261</v>
      </c>
      <c r="H64" s="17">
        <v>45125</v>
      </c>
      <c r="I64" s="76">
        <v>45125</v>
      </c>
      <c r="J64" s="22">
        <v>1506046.78</v>
      </c>
      <c r="K64" s="22">
        <v>-49391.949999999953</v>
      </c>
      <c r="L64" s="28">
        <v>45212</v>
      </c>
      <c r="M64" s="76">
        <v>45216</v>
      </c>
      <c r="N64" s="20">
        <v>1326950.9099999999</v>
      </c>
      <c r="O64" s="20">
        <v>-25057.65000000014</v>
      </c>
      <c r="P64" s="17">
        <v>45308</v>
      </c>
      <c r="Q64" s="120">
        <v>44944</v>
      </c>
      <c r="R64" s="132"/>
      <c r="S64" s="132"/>
      <c r="T64" s="82"/>
      <c r="U64" s="32"/>
      <c r="V64" s="62"/>
      <c r="W64" s="1" t="str">
        <f t="shared" si="0"/>
        <v>94</v>
      </c>
    </row>
    <row r="65" spans="1:29" x14ac:dyDescent="0.2">
      <c r="A65" s="12" t="s">
        <v>35</v>
      </c>
      <c r="B65" s="21">
        <v>1400441.81</v>
      </c>
      <c r="C65" s="21">
        <v>-9179.2899999998044</v>
      </c>
      <c r="D65" s="30">
        <v>45034</v>
      </c>
      <c r="E65" s="77">
        <v>45034</v>
      </c>
      <c r="F65" s="21">
        <v>1666220.4</v>
      </c>
      <c r="G65" s="21">
        <v>-17929.530000000261</v>
      </c>
      <c r="H65" s="16">
        <v>45125</v>
      </c>
      <c r="I65" s="77">
        <v>45125</v>
      </c>
      <c r="J65" s="21">
        <v>1506046.78</v>
      </c>
      <c r="K65" s="24">
        <v>-49391.949999999953</v>
      </c>
      <c r="L65" s="27">
        <v>45212</v>
      </c>
      <c r="M65" s="76">
        <v>45216</v>
      </c>
      <c r="N65" s="24">
        <v>1326950.9099999999</v>
      </c>
      <c r="O65" s="24">
        <v>-25057.65000000014</v>
      </c>
      <c r="P65" s="16">
        <v>45308</v>
      </c>
      <c r="Q65" s="120">
        <v>44944</v>
      </c>
      <c r="R65" s="24"/>
      <c r="S65" s="24"/>
      <c r="T65" s="83"/>
      <c r="U65" s="32"/>
      <c r="V65" s="62"/>
      <c r="W65" s="1" t="str">
        <f t="shared" si="0"/>
        <v>95</v>
      </c>
    </row>
    <row r="66" spans="1:29" x14ac:dyDescent="0.2">
      <c r="A66" s="11" t="s">
        <v>45</v>
      </c>
      <c r="B66" s="20">
        <v>1049867</v>
      </c>
      <c r="C66" s="20">
        <v>18089</v>
      </c>
      <c r="D66" s="26">
        <v>45072</v>
      </c>
      <c r="E66" s="77">
        <f>+D66</f>
        <v>45072</v>
      </c>
      <c r="F66" s="20">
        <v>1077146</v>
      </c>
      <c r="G66" s="20">
        <v>43165</v>
      </c>
      <c r="H66" s="15">
        <v>45163</v>
      </c>
      <c r="I66" s="76">
        <v>45166</v>
      </c>
      <c r="J66" s="20">
        <v>1040992</v>
      </c>
      <c r="K66" s="20">
        <v>18872</v>
      </c>
      <c r="L66" s="26">
        <v>45252</v>
      </c>
      <c r="M66" s="76">
        <v>45253</v>
      </c>
      <c r="N66" s="107">
        <v>1042574</v>
      </c>
      <c r="O66" s="20">
        <v>19604</v>
      </c>
      <c r="P66" s="15">
        <v>45383</v>
      </c>
      <c r="Q66" s="26">
        <v>45383</v>
      </c>
      <c r="R66" s="134"/>
      <c r="S66" s="132"/>
      <c r="T66" s="43"/>
      <c r="U66" s="43"/>
      <c r="V66" s="139"/>
      <c r="W66" s="1" t="str">
        <f t="shared" si="0"/>
        <v>94</v>
      </c>
    </row>
    <row r="67" spans="1:29" x14ac:dyDescent="0.2">
      <c r="A67" s="13" t="s">
        <v>46</v>
      </c>
      <c r="B67" s="22">
        <v>524929</v>
      </c>
      <c r="C67" s="22">
        <v>9046</v>
      </c>
      <c r="D67" s="28">
        <v>45072</v>
      </c>
      <c r="E67" s="77">
        <f t="shared" ref="E67:E75" si="4">+D67</f>
        <v>45072</v>
      </c>
      <c r="F67" s="22">
        <v>538567</v>
      </c>
      <c r="G67" s="22">
        <v>21581</v>
      </c>
      <c r="H67" s="17">
        <v>45163</v>
      </c>
      <c r="I67" s="76">
        <v>45166</v>
      </c>
      <c r="J67" s="22">
        <v>520492</v>
      </c>
      <c r="K67" s="22">
        <v>9437</v>
      </c>
      <c r="L67" s="17">
        <v>45252</v>
      </c>
      <c r="M67" s="76">
        <v>45253</v>
      </c>
      <c r="N67" s="107">
        <v>521281</v>
      </c>
      <c r="O67" s="22">
        <v>9802</v>
      </c>
      <c r="P67" s="17">
        <v>45383</v>
      </c>
      <c r="Q67" s="28">
        <v>45383</v>
      </c>
      <c r="R67" s="134"/>
      <c r="S67" s="85"/>
      <c r="T67" s="82"/>
      <c r="U67" s="82"/>
      <c r="V67" s="139"/>
      <c r="W67" s="1" t="str">
        <f t="shared" si="0"/>
        <v>BA</v>
      </c>
    </row>
    <row r="68" spans="1:29" x14ac:dyDescent="0.2">
      <c r="A68" s="13" t="s">
        <v>47</v>
      </c>
      <c r="B68" s="22">
        <v>2099745</v>
      </c>
      <c r="C68" s="22">
        <v>36180</v>
      </c>
      <c r="D68" s="28">
        <v>45072</v>
      </c>
      <c r="E68" s="77">
        <f t="shared" si="4"/>
        <v>45072</v>
      </c>
      <c r="F68" s="22">
        <v>2154300</v>
      </c>
      <c r="G68" s="22">
        <v>86329</v>
      </c>
      <c r="H68" s="17">
        <v>45163</v>
      </c>
      <c r="I68" s="76">
        <v>45166</v>
      </c>
      <c r="J68" s="22">
        <v>2081984</v>
      </c>
      <c r="K68" s="22">
        <v>37744</v>
      </c>
      <c r="L68" s="17">
        <v>45252</v>
      </c>
      <c r="M68" s="76">
        <v>45253</v>
      </c>
      <c r="N68" s="107">
        <v>2085144</v>
      </c>
      <c r="O68" s="22">
        <v>39207</v>
      </c>
      <c r="P68" s="17">
        <v>45383</v>
      </c>
      <c r="Q68" s="28">
        <v>45383</v>
      </c>
      <c r="R68" s="134"/>
      <c r="S68" s="85"/>
      <c r="T68" s="82"/>
      <c r="U68" s="82"/>
      <c r="V68" s="139"/>
      <c r="W68" s="1" t="str">
        <f t="shared" si="0"/>
        <v>DI</v>
      </c>
    </row>
    <row r="69" spans="1:29" x14ac:dyDescent="0.2">
      <c r="A69" s="13" t="s">
        <v>48</v>
      </c>
      <c r="B69" s="22">
        <v>1574801</v>
      </c>
      <c r="C69" s="22">
        <v>27135</v>
      </c>
      <c r="D69" s="28">
        <v>45072</v>
      </c>
      <c r="E69" s="77">
        <f t="shared" si="4"/>
        <v>45072</v>
      </c>
      <c r="F69" s="22">
        <v>1615716</v>
      </c>
      <c r="G69" s="22">
        <v>64746</v>
      </c>
      <c r="H69" s="17">
        <v>45163</v>
      </c>
      <c r="I69" s="76">
        <v>45166</v>
      </c>
      <c r="J69" s="22">
        <v>1561479</v>
      </c>
      <c r="K69" s="22">
        <v>28308</v>
      </c>
      <c r="L69" s="17">
        <v>45252</v>
      </c>
      <c r="M69" s="76">
        <v>45253</v>
      </c>
      <c r="N69" s="107">
        <v>1563850</v>
      </c>
      <c r="O69" s="22">
        <v>29405</v>
      </c>
      <c r="P69" s="17">
        <v>45383</v>
      </c>
      <c r="Q69" s="28">
        <v>45383</v>
      </c>
      <c r="R69" s="134"/>
      <c r="S69" s="85"/>
      <c r="T69" s="82"/>
      <c r="U69" s="82"/>
      <c r="V69" s="139"/>
      <c r="W69" s="1" t="str">
        <f t="shared" si="0"/>
        <v>DL</v>
      </c>
    </row>
    <row r="70" spans="1:29" x14ac:dyDescent="0.2">
      <c r="A70" s="13" t="s">
        <v>49</v>
      </c>
      <c r="B70" s="22">
        <v>393704</v>
      </c>
      <c r="C70" s="22">
        <v>6783</v>
      </c>
      <c r="D70" s="28">
        <v>45072</v>
      </c>
      <c r="E70" s="77">
        <f t="shared" si="4"/>
        <v>45072</v>
      </c>
      <c r="F70" s="22">
        <v>403933</v>
      </c>
      <c r="G70" s="22">
        <v>16186</v>
      </c>
      <c r="H70" s="17">
        <v>45163</v>
      </c>
      <c r="I70" s="76">
        <v>45166</v>
      </c>
      <c r="J70" s="22">
        <v>390373</v>
      </c>
      <c r="K70" s="22">
        <v>7077</v>
      </c>
      <c r="L70" s="17">
        <v>45252</v>
      </c>
      <c r="M70" s="76">
        <v>45253</v>
      </c>
      <c r="N70" s="107">
        <v>390964</v>
      </c>
      <c r="O70" s="22">
        <v>7352</v>
      </c>
      <c r="P70" s="17">
        <v>45383</v>
      </c>
      <c r="Q70" s="28">
        <v>45383</v>
      </c>
      <c r="R70" s="134"/>
      <c r="S70" s="85"/>
      <c r="T70" s="82"/>
      <c r="U70" s="82"/>
      <c r="V70" s="139"/>
      <c r="W70" s="1" t="str">
        <f t="shared" si="0"/>
        <v>MW</v>
      </c>
    </row>
    <row r="71" spans="1:29" x14ac:dyDescent="0.2">
      <c r="A71" s="12" t="s">
        <v>50</v>
      </c>
      <c r="B71" s="21">
        <v>524929</v>
      </c>
      <c r="C71" s="21">
        <v>9046</v>
      </c>
      <c r="D71" s="27">
        <v>45072</v>
      </c>
      <c r="E71" s="77">
        <f t="shared" si="4"/>
        <v>45072</v>
      </c>
      <c r="F71" s="21">
        <v>538567</v>
      </c>
      <c r="G71" s="21">
        <v>21581</v>
      </c>
      <c r="H71" s="16">
        <v>45163</v>
      </c>
      <c r="I71" s="76">
        <v>45166</v>
      </c>
      <c r="J71" s="21">
        <v>520492</v>
      </c>
      <c r="K71" s="21">
        <v>9437</v>
      </c>
      <c r="L71" s="16">
        <v>45252</v>
      </c>
      <c r="M71" s="76">
        <v>45253</v>
      </c>
      <c r="N71" s="110">
        <v>521281</v>
      </c>
      <c r="O71" s="21">
        <v>9802</v>
      </c>
      <c r="P71" s="16">
        <v>45383</v>
      </c>
      <c r="Q71" s="27">
        <v>45383</v>
      </c>
      <c r="R71" s="138"/>
      <c r="S71" s="24"/>
      <c r="T71" s="83"/>
      <c r="U71" s="83"/>
      <c r="V71" s="139"/>
      <c r="W71" s="1" t="str">
        <f t="shared" ref="W71:W93" si="5">RIGHT(A71,2)</f>
        <v>VP</v>
      </c>
    </row>
    <row r="72" spans="1:29" x14ac:dyDescent="0.2">
      <c r="A72" s="11" t="s">
        <v>62</v>
      </c>
      <c r="B72" s="20">
        <v>428073</v>
      </c>
      <c r="C72" s="20">
        <v>17789</v>
      </c>
      <c r="D72" s="26">
        <v>45084</v>
      </c>
      <c r="E72" s="77">
        <f t="shared" si="4"/>
        <v>45084</v>
      </c>
      <c r="F72" s="20">
        <v>436222</v>
      </c>
      <c r="G72" s="20">
        <v>12615</v>
      </c>
      <c r="H72" s="15">
        <v>45168</v>
      </c>
      <c r="I72" s="76">
        <v>45169</v>
      </c>
      <c r="J72" s="20">
        <v>421110</v>
      </c>
      <c r="K72" s="20">
        <v>10946</v>
      </c>
      <c r="L72" s="15">
        <v>45254</v>
      </c>
      <c r="M72" s="76">
        <v>45254</v>
      </c>
      <c r="N72" s="107">
        <v>376261</v>
      </c>
      <c r="O72" s="20">
        <v>16242</v>
      </c>
      <c r="P72" s="15">
        <v>45383</v>
      </c>
      <c r="Q72" s="26">
        <v>45383</v>
      </c>
      <c r="R72" s="134"/>
      <c r="S72" s="132"/>
      <c r="T72" s="43"/>
      <c r="U72" s="43"/>
      <c r="V72" s="139"/>
      <c r="W72" s="1" t="str">
        <f t="shared" si="5"/>
        <v>DD</v>
      </c>
    </row>
    <row r="73" spans="1:29" x14ac:dyDescent="0.2">
      <c r="A73" s="13" t="s">
        <v>51</v>
      </c>
      <c r="B73" s="22">
        <v>2568455</v>
      </c>
      <c r="C73" s="22">
        <v>106731</v>
      </c>
      <c r="D73" s="28">
        <v>45084</v>
      </c>
      <c r="E73" s="77">
        <f t="shared" si="4"/>
        <v>45084</v>
      </c>
      <c r="F73" s="22">
        <v>2617366</v>
      </c>
      <c r="G73" s="22">
        <v>75695</v>
      </c>
      <c r="H73" s="17">
        <v>45168</v>
      </c>
      <c r="I73" s="76">
        <v>45169</v>
      </c>
      <c r="J73" s="22">
        <v>2526706</v>
      </c>
      <c r="K73" s="22">
        <v>65677</v>
      </c>
      <c r="L73" s="17">
        <v>45254</v>
      </c>
      <c r="M73" s="76">
        <v>45254</v>
      </c>
      <c r="N73" s="113">
        <v>2257593</v>
      </c>
      <c r="O73" s="22">
        <v>97452</v>
      </c>
      <c r="P73" s="17">
        <v>45383</v>
      </c>
      <c r="Q73" s="28">
        <v>45383</v>
      </c>
      <c r="R73" s="146"/>
      <c r="S73" s="85"/>
      <c r="T73" s="82"/>
      <c r="U73" s="82"/>
      <c r="V73" s="139"/>
      <c r="W73" s="1" t="str">
        <f t="shared" si="5"/>
        <v>DI</v>
      </c>
    </row>
    <row r="74" spans="1:29" x14ac:dyDescent="0.2">
      <c r="A74" s="13" t="s">
        <v>52</v>
      </c>
      <c r="B74" s="22">
        <v>428073</v>
      </c>
      <c r="C74" s="22">
        <v>17789</v>
      </c>
      <c r="D74" s="28">
        <v>45084</v>
      </c>
      <c r="E74" s="77">
        <f t="shared" si="4"/>
        <v>45084</v>
      </c>
      <c r="F74" s="22">
        <v>436222</v>
      </c>
      <c r="G74" s="22">
        <v>12615</v>
      </c>
      <c r="H74" s="17">
        <v>45168</v>
      </c>
      <c r="I74" s="76">
        <v>45169</v>
      </c>
      <c r="J74" s="22">
        <v>421110</v>
      </c>
      <c r="K74" s="22">
        <v>10946</v>
      </c>
      <c r="L74" s="17">
        <v>45254</v>
      </c>
      <c r="M74" s="76">
        <v>45254</v>
      </c>
      <c r="N74" s="107">
        <v>376261</v>
      </c>
      <c r="O74" s="22">
        <v>16242</v>
      </c>
      <c r="P74" s="17">
        <v>45383</v>
      </c>
      <c r="Q74" s="28">
        <v>45383</v>
      </c>
      <c r="R74" s="134"/>
      <c r="S74" s="85"/>
      <c r="T74" s="82"/>
      <c r="U74" s="82"/>
      <c r="V74" s="139"/>
      <c r="W74" s="1" t="str">
        <f t="shared" si="5"/>
        <v>MW</v>
      </c>
    </row>
    <row r="75" spans="1:29" x14ac:dyDescent="0.2">
      <c r="A75" s="12" t="s">
        <v>53</v>
      </c>
      <c r="B75" s="21">
        <v>856147</v>
      </c>
      <c r="C75" s="24">
        <v>35578</v>
      </c>
      <c r="D75" s="27">
        <v>45084</v>
      </c>
      <c r="E75" s="77">
        <f t="shared" si="4"/>
        <v>45084</v>
      </c>
      <c r="F75" s="21">
        <v>872448</v>
      </c>
      <c r="G75" s="24">
        <v>25232</v>
      </c>
      <c r="H75" s="16">
        <v>45168</v>
      </c>
      <c r="I75" s="76">
        <v>45169</v>
      </c>
      <c r="J75" s="24">
        <v>842228</v>
      </c>
      <c r="K75" s="24">
        <v>21892</v>
      </c>
      <c r="L75" s="16">
        <v>45254</v>
      </c>
      <c r="M75" s="76">
        <v>45254</v>
      </c>
      <c r="N75" s="114">
        <v>752519</v>
      </c>
      <c r="O75" s="24">
        <v>32485</v>
      </c>
      <c r="P75" s="16">
        <v>45383</v>
      </c>
      <c r="Q75" s="27">
        <v>45383</v>
      </c>
      <c r="R75" s="138"/>
      <c r="S75" s="24"/>
      <c r="T75" s="83"/>
      <c r="U75" s="83"/>
      <c r="V75" s="139"/>
      <c r="W75" s="1" t="str">
        <f t="shared" si="5"/>
        <v>VP</v>
      </c>
    </row>
    <row r="76" spans="1:29" x14ac:dyDescent="0.2">
      <c r="A76" s="11" t="s">
        <v>104</v>
      </c>
      <c r="B76" s="20">
        <v>2239539</v>
      </c>
      <c r="C76" s="20">
        <v>-29177</v>
      </c>
      <c r="D76" s="28">
        <v>45174</v>
      </c>
      <c r="E76" s="77">
        <v>45176</v>
      </c>
      <c r="F76" s="20">
        <v>2191814</v>
      </c>
      <c r="G76" s="22">
        <v>-47725</v>
      </c>
      <c r="H76" s="26">
        <v>45216</v>
      </c>
      <c r="I76" s="87"/>
      <c r="J76" s="90">
        <v>2238271</v>
      </c>
      <c r="K76" s="20">
        <v>46457</v>
      </c>
      <c r="L76" s="26">
        <v>45303</v>
      </c>
      <c r="M76" s="4"/>
      <c r="N76" s="107">
        <v>3181699</v>
      </c>
      <c r="O76" s="20">
        <v>227546</v>
      </c>
      <c r="P76" s="26">
        <v>45404</v>
      </c>
      <c r="Q76" s="125"/>
      <c r="R76" s="134">
        <v>3185837</v>
      </c>
      <c r="S76" s="132">
        <v>231684</v>
      </c>
      <c r="T76" s="43">
        <v>45482</v>
      </c>
      <c r="U76" s="43"/>
      <c r="V76" s="84">
        <f>+R76-N76</f>
        <v>4138</v>
      </c>
      <c r="W76" s="1" t="str">
        <f t="shared" si="5"/>
        <v>31</v>
      </c>
      <c r="Z76" s="2"/>
      <c r="AB76" s="2"/>
      <c r="AC76" s="23"/>
    </row>
    <row r="77" spans="1:29" x14ac:dyDescent="0.2">
      <c r="A77" s="11" t="s">
        <v>105</v>
      </c>
      <c r="B77" s="20">
        <v>2067265</v>
      </c>
      <c r="C77" s="20">
        <v>-26932</v>
      </c>
      <c r="D77" s="28">
        <v>45174</v>
      </c>
      <c r="E77" s="77">
        <v>45176</v>
      </c>
      <c r="F77" s="20">
        <v>2023211</v>
      </c>
      <c r="G77" s="22">
        <v>-44054</v>
      </c>
      <c r="H77" s="28">
        <v>45216</v>
      </c>
      <c r="I77" s="76">
        <v>45216</v>
      </c>
      <c r="J77" s="22">
        <v>2066096</v>
      </c>
      <c r="K77" s="22">
        <v>42885</v>
      </c>
      <c r="L77" s="28">
        <v>45303</v>
      </c>
      <c r="M77" s="76">
        <v>45303</v>
      </c>
      <c r="N77" s="107">
        <v>2936955</v>
      </c>
      <c r="O77" s="22">
        <v>210043</v>
      </c>
      <c r="P77" s="28">
        <v>45404</v>
      </c>
      <c r="Q77" s="126">
        <v>45405</v>
      </c>
      <c r="R77" s="134">
        <v>2940774</v>
      </c>
      <c r="S77" s="85">
        <v>213862</v>
      </c>
      <c r="T77" s="82">
        <v>45482</v>
      </c>
      <c r="U77" s="82">
        <v>45482</v>
      </c>
      <c r="V77" s="132">
        <f t="shared" ref="V77:V88" si="6">+R77-N77</f>
        <v>3819</v>
      </c>
      <c r="W77" s="1" t="str">
        <f t="shared" si="5"/>
        <v>75</v>
      </c>
      <c r="Z77" s="2"/>
      <c r="AB77" s="2"/>
      <c r="AC77" s="23"/>
    </row>
    <row r="78" spans="1:29" x14ac:dyDescent="0.2">
      <c r="A78" s="11" t="s">
        <v>106</v>
      </c>
      <c r="B78" s="20">
        <v>12403592</v>
      </c>
      <c r="C78" s="20">
        <v>-161597</v>
      </c>
      <c r="D78" s="82">
        <v>45174</v>
      </c>
      <c r="E78" s="77">
        <v>45176</v>
      </c>
      <c r="F78" s="20">
        <v>12139268</v>
      </c>
      <c r="G78" s="22">
        <v>-264324</v>
      </c>
      <c r="H78" s="28">
        <v>45216</v>
      </c>
      <c r="I78" s="76">
        <v>45216</v>
      </c>
      <c r="J78" s="22">
        <v>12396576</v>
      </c>
      <c r="K78" s="22">
        <v>257308</v>
      </c>
      <c r="L78" s="28">
        <v>45303</v>
      </c>
      <c r="M78" s="76">
        <v>45303</v>
      </c>
      <c r="N78" s="107">
        <v>17621718</v>
      </c>
      <c r="O78" s="23">
        <v>1260253</v>
      </c>
      <c r="P78" s="28">
        <v>45404</v>
      </c>
      <c r="Q78" s="126">
        <v>45405</v>
      </c>
      <c r="R78" s="134">
        <v>17644639</v>
      </c>
      <c r="S78" s="145">
        <v>1283174</v>
      </c>
      <c r="T78" s="82">
        <v>45482</v>
      </c>
      <c r="U78" s="82">
        <v>45482</v>
      </c>
      <c r="V78" s="132">
        <f t="shared" si="6"/>
        <v>22921</v>
      </c>
      <c r="W78" s="1" t="str">
        <f t="shared" si="5"/>
        <v>92</v>
      </c>
      <c r="Z78" s="2"/>
      <c r="AB78" s="2"/>
      <c r="AC78" s="23"/>
    </row>
    <row r="79" spans="1:29" x14ac:dyDescent="0.2">
      <c r="A79" s="11" t="s">
        <v>107</v>
      </c>
      <c r="B79" s="20">
        <v>36072893</v>
      </c>
      <c r="C79" s="20">
        <v>1531507</v>
      </c>
      <c r="D79" s="82">
        <v>45174</v>
      </c>
      <c r="E79" s="77">
        <v>45176</v>
      </c>
      <c r="F79" s="20">
        <v>35309294</v>
      </c>
      <c r="G79" s="22">
        <v>-763599</v>
      </c>
      <c r="H79" s="28">
        <v>45216</v>
      </c>
      <c r="I79" s="76">
        <v>45216</v>
      </c>
      <c r="J79" s="22">
        <v>36052624</v>
      </c>
      <c r="K79" s="22">
        <v>743330</v>
      </c>
      <c r="L79" s="28">
        <v>45303</v>
      </c>
      <c r="M79" s="76">
        <v>45303</v>
      </c>
      <c r="N79" s="107">
        <v>51147487</v>
      </c>
      <c r="O79" s="22">
        <v>3640728</v>
      </c>
      <c r="P79" s="28">
        <v>45404</v>
      </c>
      <c r="Q79" s="126">
        <v>45405</v>
      </c>
      <c r="R79" s="134">
        <v>51213704</v>
      </c>
      <c r="S79" s="85">
        <v>3706945</v>
      </c>
      <c r="T79" s="82">
        <v>45482</v>
      </c>
      <c r="U79" s="82">
        <v>45482</v>
      </c>
      <c r="V79" s="132">
        <f t="shared" si="6"/>
        <v>66217</v>
      </c>
      <c r="W79" s="1" t="str">
        <f t="shared" si="5"/>
        <v>94</v>
      </c>
      <c r="Z79" s="2"/>
      <c r="AB79" s="2"/>
      <c r="AC79" s="23"/>
    </row>
    <row r="80" spans="1:29" x14ac:dyDescent="0.2">
      <c r="A80" s="11" t="s">
        <v>108</v>
      </c>
      <c r="B80" s="20">
        <v>4754709</v>
      </c>
      <c r="C80" s="20">
        <v>-61946</v>
      </c>
      <c r="D80" s="82">
        <v>45174</v>
      </c>
      <c r="E80" s="77">
        <v>45176</v>
      </c>
      <c r="F80" s="20">
        <v>4653386</v>
      </c>
      <c r="G80" s="22">
        <v>-101323</v>
      </c>
      <c r="H80" s="28">
        <v>45216</v>
      </c>
      <c r="I80" s="76">
        <v>45216</v>
      </c>
      <c r="J80" s="22">
        <v>4752020</v>
      </c>
      <c r="K80" s="22">
        <v>98634</v>
      </c>
      <c r="L80" s="28">
        <v>45303</v>
      </c>
      <c r="M80" s="76">
        <v>45303</v>
      </c>
      <c r="N80" s="107">
        <v>6754990</v>
      </c>
      <c r="O80" s="22">
        <v>483096</v>
      </c>
      <c r="P80" s="28">
        <v>45404</v>
      </c>
      <c r="Q80" s="126">
        <v>45405</v>
      </c>
      <c r="R80" s="134">
        <v>6763776</v>
      </c>
      <c r="S80" s="85">
        <v>491882</v>
      </c>
      <c r="T80" s="82">
        <v>45482</v>
      </c>
      <c r="U80" s="82">
        <v>45482</v>
      </c>
      <c r="V80" s="132">
        <f t="shared" si="6"/>
        <v>8786</v>
      </c>
      <c r="W80" s="1" t="str">
        <f t="shared" si="5"/>
        <v>95</v>
      </c>
      <c r="Z80" s="2"/>
      <c r="AB80" s="2"/>
      <c r="AC80" s="23"/>
    </row>
    <row r="81" spans="1:29" x14ac:dyDescent="0.2">
      <c r="A81" s="11" t="s">
        <v>109</v>
      </c>
      <c r="B81" s="20">
        <v>1894995</v>
      </c>
      <c r="C81" s="20">
        <v>-24688</v>
      </c>
      <c r="D81" s="82">
        <v>45174</v>
      </c>
      <c r="E81" s="77">
        <v>45176</v>
      </c>
      <c r="F81" s="20">
        <v>1854612</v>
      </c>
      <c r="G81" s="22">
        <v>-40383</v>
      </c>
      <c r="H81" s="28">
        <v>45216</v>
      </c>
      <c r="I81" s="76">
        <v>45216</v>
      </c>
      <c r="J81" s="22">
        <v>1893924</v>
      </c>
      <c r="K81" s="22">
        <v>39312</v>
      </c>
      <c r="L81" s="28">
        <v>45303</v>
      </c>
      <c r="M81" s="76">
        <v>45303</v>
      </c>
      <c r="N81" s="107">
        <v>2692209</v>
      </c>
      <c r="O81" s="22">
        <v>192538</v>
      </c>
      <c r="P81" s="28">
        <v>45404</v>
      </c>
      <c r="Q81" s="126">
        <v>45405</v>
      </c>
      <c r="R81" s="134">
        <v>2695711</v>
      </c>
      <c r="S81" s="85">
        <v>196040</v>
      </c>
      <c r="T81" s="82">
        <v>45482</v>
      </c>
      <c r="U81" s="82">
        <v>45482</v>
      </c>
      <c r="V81" s="132">
        <f t="shared" si="6"/>
        <v>3502</v>
      </c>
      <c r="W81" s="1" t="str">
        <f t="shared" si="5"/>
        <v>BA</v>
      </c>
      <c r="Z81" s="2"/>
      <c r="AB81" s="2"/>
      <c r="AC81" s="23"/>
    </row>
    <row r="82" spans="1:29" x14ac:dyDescent="0.2">
      <c r="A82" s="11" t="s">
        <v>110</v>
      </c>
      <c r="B82" s="20">
        <v>757998</v>
      </c>
      <c r="C82" s="20">
        <v>-9876</v>
      </c>
      <c r="D82" s="82">
        <v>45174</v>
      </c>
      <c r="E82" s="77">
        <v>45176</v>
      </c>
      <c r="F82" s="20">
        <v>741845</v>
      </c>
      <c r="G82" s="22">
        <v>-16153</v>
      </c>
      <c r="H82" s="28">
        <v>45216</v>
      </c>
      <c r="I82" s="76">
        <v>45216</v>
      </c>
      <c r="J82" s="22">
        <v>757568</v>
      </c>
      <c r="K82" s="22">
        <v>15723</v>
      </c>
      <c r="L82" s="28">
        <v>45303</v>
      </c>
      <c r="M82" s="76">
        <v>45303</v>
      </c>
      <c r="N82" s="107">
        <v>1076881</v>
      </c>
      <c r="O82" s="22">
        <v>77015</v>
      </c>
      <c r="P82" s="28">
        <v>45404</v>
      </c>
      <c r="Q82" s="126">
        <v>45405</v>
      </c>
      <c r="R82" s="134">
        <v>1078283</v>
      </c>
      <c r="S82" s="85">
        <v>78417</v>
      </c>
      <c r="T82" s="82">
        <v>45482</v>
      </c>
      <c r="U82" s="82">
        <v>45482</v>
      </c>
      <c r="V82" s="85">
        <f t="shared" si="6"/>
        <v>1402</v>
      </c>
      <c r="W82" s="1" t="str">
        <f t="shared" si="5"/>
        <v>BC</v>
      </c>
      <c r="Z82" s="2"/>
      <c r="AB82" s="2"/>
      <c r="AC82" s="23"/>
    </row>
    <row r="83" spans="1:29" x14ac:dyDescent="0.2">
      <c r="A83" s="11" t="s">
        <v>111</v>
      </c>
      <c r="B83" s="20">
        <v>103364</v>
      </c>
      <c r="C83" s="20">
        <v>-1346</v>
      </c>
      <c r="D83" s="82">
        <v>45174</v>
      </c>
      <c r="E83" s="77">
        <v>45176</v>
      </c>
      <c r="F83" s="20">
        <v>101162</v>
      </c>
      <c r="G83" s="22">
        <v>-2202</v>
      </c>
      <c r="H83" s="28">
        <v>45216</v>
      </c>
      <c r="I83" s="76">
        <v>45216</v>
      </c>
      <c r="J83" s="22">
        <v>103308</v>
      </c>
      <c r="K83" s="22">
        <v>2146</v>
      </c>
      <c r="L83" s="28">
        <v>45303</v>
      </c>
      <c r="M83" s="76">
        <v>45303</v>
      </c>
      <c r="N83" s="107">
        <v>146852</v>
      </c>
      <c r="O83" s="22">
        <v>10502</v>
      </c>
      <c r="P83" s="28">
        <v>45404</v>
      </c>
      <c r="Q83" s="126">
        <v>45405</v>
      </c>
      <c r="R83" s="134">
        <v>147043</v>
      </c>
      <c r="S83" s="85">
        <v>10693</v>
      </c>
      <c r="T83" s="82">
        <v>45482</v>
      </c>
      <c r="U83" s="82">
        <v>45482</v>
      </c>
      <c r="V83" s="132">
        <f t="shared" si="6"/>
        <v>191</v>
      </c>
      <c r="W83" s="1" t="str">
        <f t="shared" si="5"/>
        <v>BP</v>
      </c>
      <c r="Z83" s="2"/>
      <c r="AB83" s="2"/>
      <c r="AC83" s="23"/>
    </row>
    <row r="84" spans="1:29" x14ac:dyDescent="0.2">
      <c r="A84" s="12" t="s">
        <v>112</v>
      </c>
      <c r="B84" s="21">
        <v>241184</v>
      </c>
      <c r="C84" s="21">
        <v>-3141</v>
      </c>
      <c r="D84" s="83">
        <v>45174</v>
      </c>
      <c r="E84" s="77">
        <v>45176</v>
      </c>
      <c r="F84" s="21">
        <v>236043</v>
      </c>
      <c r="G84" s="24">
        <v>-5141</v>
      </c>
      <c r="H84" s="27">
        <v>45216</v>
      </c>
      <c r="I84" s="76">
        <v>45216</v>
      </c>
      <c r="J84" s="21">
        <v>241046</v>
      </c>
      <c r="K84" s="21">
        <v>5003</v>
      </c>
      <c r="L84" s="27">
        <v>45303</v>
      </c>
      <c r="M84" s="76">
        <v>45303</v>
      </c>
      <c r="N84" s="111">
        <v>342645</v>
      </c>
      <c r="O84" s="21">
        <v>24505</v>
      </c>
      <c r="P84" s="27">
        <v>45404</v>
      </c>
      <c r="Q84" s="126">
        <v>45405</v>
      </c>
      <c r="R84" s="111">
        <v>343091</v>
      </c>
      <c r="S84" s="24">
        <v>24951</v>
      </c>
      <c r="T84" s="83">
        <v>45482</v>
      </c>
      <c r="U84" s="83">
        <v>45482</v>
      </c>
      <c r="V84" s="136">
        <f t="shared" si="6"/>
        <v>446</v>
      </c>
      <c r="W84" s="1" t="str">
        <f t="shared" si="5"/>
        <v>BQ</v>
      </c>
      <c r="Z84" s="2"/>
      <c r="AB84" s="2"/>
      <c r="AC84" s="23"/>
    </row>
    <row r="85" spans="1:29" x14ac:dyDescent="0.2">
      <c r="A85" s="11" t="s">
        <v>113</v>
      </c>
      <c r="B85" s="20">
        <v>10116302</v>
      </c>
      <c r="C85" s="20">
        <v>708803</v>
      </c>
      <c r="D85" s="26">
        <v>45166</v>
      </c>
      <c r="E85" s="77">
        <v>45167</v>
      </c>
      <c r="F85" s="20">
        <v>10205181</v>
      </c>
      <c r="G85" s="20">
        <v>88879</v>
      </c>
      <c r="H85" s="26">
        <v>45216</v>
      </c>
      <c r="I85" s="76">
        <v>45216</v>
      </c>
      <c r="J85" s="91">
        <v>10710001</v>
      </c>
      <c r="K85" s="91">
        <v>504820</v>
      </c>
      <c r="L85" s="26">
        <v>45303</v>
      </c>
      <c r="M85" s="76">
        <v>45303</v>
      </c>
      <c r="N85" s="107">
        <v>13456032</v>
      </c>
      <c r="O85" s="20">
        <v>1120627</v>
      </c>
      <c r="P85" s="26">
        <v>45404</v>
      </c>
      <c r="Q85" s="126">
        <v>45405</v>
      </c>
      <c r="R85" s="134">
        <v>13493211</v>
      </c>
      <c r="S85" s="132">
        <v>1157806</v>
      </c>
      <c r="T85" s="43">
        <v>45482</v>
      </c>
      <c r="U85" s="43">
        <v>45482</v>
      </c>
      <c r="V85" s="132">
        <f t="shared" si="6"/>
        <v>37179</v>
      </c>
      <c r="W85" s="1" t="str">
        <f t="shared" si="5"/>
        <v>DL</v>
      </c>
      <c r="Z85" s="2"/>
      <c r="AB85" s="2"/>
      <c r="AC85" s="23"/>
    </row>
    <row r="86" spans="1:29" x14ac:dyDescent="0.2">
      <c r="A86" s="11" t="s">
        <v>114</v>
      </c>
      <c r="B86" s="20">
        <v>6526645</v>
      </c>
      <c r="C86" s="20">
        <v>457293</v>
      </c>
      <c r="D86" s="26">
        <v>45166</v>
      </c>
      <c r="E86" s="77">
        <v>45167</v>
      </c>
      <c r="F86" s="20">
        <v>6583986</v>
      </c>
      <c r="G86" s="22">
        <v>57341</v>
      </c>
      <c r="H86" s="28">
        <v>45216</v>
      </c>
      <c r="I86" s="76">
        <v>45216</v>
      </c>
      <c r="J86" s="92">
        <v>6909676</v>
      </c>
      <c r="K86" s="92">
        <v>325690</v>
      </c>
      <c r="L86" s="28">
        <v>45303</v>
      </c>
      <c r="M86" s="76">
        <v>45303</v>
      </c>
      <c r="N86" s="107">
        <v>8681308</v>
      </c>
      <c r="O86" s="22">
        <v>722985</v>
      </c>
      <c r="P86" s="28">
        <v>45404</v>
      </c>
      <c r="Q86" s="126">
        <v>45405</v>
      </c>
      <c r="R86" s="134">
        <v>8705295</v>
      </c>
      <c r="S86" s="85">
        <v>746972</v>
      </c>
      <c r="T86" s="82">
        <v>45482</v>
      </c>
      <c r="U86" s="82">
        <v>45482</v>
      </c>
      <c r="V86" s="132">
        <f t="shared" si="6"/>
        <v>23987</v>
      </c>
      <c r="W86" s="1" t="str">
        <f t="shared" si="5"/>
        <v>DI</v>
      </c>
      <c r="Z86" s="2"/>
      <c r="AB86" s="2"/>
      <c r="AC86" s="23"/>
    </row>
    <row r="87" spans="1:29" x14ac:dyDescent="0.2">
      <c r="A87" s="11" t="s">
        <v>115</v>
      </c>
      <c r="B87" s="20">
        <v>3263321</v>
      </c>
      <c r="C87" s="20">
        <v>228646</v>
      </c>
      <c r="D87" s="26">
        <v>45166</v>
      </c>
      <c r="E87" s="77">
        <v>45167</v>
      </c>
      <c r="F87" s="20">
        <v>3291992</v>
      </c>
      <c r="G87" s="22">
        <v>28671</v>
      </c>
      <c r="H87" s="28">
        <v>45216</v>
      </c>
      <c r="I87" s="76">
        <v>45216</v>
      </c>
      <c r="J87" s="92">
        <v>3454838</v>
      </c>
      <c r="K87" s="92">
        <v>162846</v>
      </c>
      <c r="L87" s="28">
        <v>45303</v>
      </c>
      <c r="M87" s="76">
        <v>45303</v>
      </c>
      <c r="N87" s="107">
        <v>4340653</v>
      </c>
      <c r="O87" s="22">
        <v>361492</v>
      </c>
      <c r="P87" s="28">
        <v>45404</v>
      </c>
      <c r="Q87" s="126">
        <v>45405</v>
      </c>
      <c r="R87" s="134">
        <v>4352646</v>
      </c>
      <c r="S87" s="85">
        <v>373485</v>
      </c>
      <c r="T87" s="82">
        <v>45482</v>
      </c>
      <c r="U87" s="82">
        <v>45482</v>
      </c>
      <c r="V87" s="85">
        <f t="shared" si="6"/>
        <v>11993</v>
      </c>
      <c r="W87" s="1" t="str">
        <f t="shared" si="5"/>
        <v>DD</v>
      </c>
      <c r="Z87" s="2"/>
      <c r="AB87" s="2"/>
      <c r="AC87" s="23"/>
    </row>
    <row r="88" spans="1:29" x14ac:dyDescent="0.2">
      <c r="A88" s="12" t="s">
        <v>116</v>
      </c>
      <c r="B88" s="72">
        <v>326331</v>
      </c>
      <c r="C88" s="72">
        <v>22866</v>
      </c>
      <c r="D88" s="30">
        <v>45166</v>
      </c>
      <c r="E88" s="77">
        <v>45167</v>
      </c>
      <c r="F88" s="72">
        <v>329197</v>
      </c>
      <c r="G88" s="21">
        <v>2866</v>
      </c>
      <c r="H88" s="27">
        <v>45216</v>
      </c>
      <c r="I88" s="101">
        <v>45216</v>
      </c>
      <c r="J88" s="93">
        <v>345483</v>
      </c>
      <c r="K88" s="93">
        <v>16286</v>
      </c>
      <c r="L88" s="27">
        <v>45303</v>
      </c>
      <c r="M88" s="76">
        <v>45303</v>
      </c>
      <c r="N88" s="111">
        <v>434063</v>
      </c>
      <c r="O88" s="21">
        <v>36149</v>
      </c>
      <c r="P88" s="27">
        <v>45404</v>
      </c>
      <c r="Q88" s="126">
        <v>45405</v>
      </c>
      <c r="R88" s="111">
        <v>435263</v>
      </c>
      <c r="S88" s="24">
        <v>37349</v>
      </c>
      <c r="T88" s="83">
        <v>45482</v>
      </c>
      <c r="U88" s="83">
        <v>45482</v>
      </c>
      <c r="V88" s="136">
        <f t="shared" si="6"/>
        <v>1200</v>
      </c>
      <c r="W88" s="1" t="str">
        <f t="shared" si="5"/>
        <v>MW</v>
      </c>
      <c r="Z88" s="2"/>
      <c r="AB88" s="2"/>
      <c r="AC88" s="23"/>
    </row>
    <row r="89" spans="1:29" x14ac:dyDescent="0.2">
      <c r="A89" s="11" t="s">
        <v>117</v>
      </c>
      <c r="B89" s="20"/>
      <c r="C89" s="20"/>
      <c r="D89" s="43"/>
      <c r="E89" s="101"/>
      <c r="F89" s="20"/>
      <c r="G89" s="20"/>
      <c r="H89" s="26"/>
      <c r="I89" s="76"/>
      <c r="J89" s="20">
        <v>74023</v>
      </c>
      <c r="K89" s="20">
        <v>74023</v>
      </c>
      <c r="L89" s="26">
        <v>45288</v>
      </c>
      <c r="M89" s="76"/>
      <c r="N89" s="107">
        <v>252030</v>
      </c>
      <c r="O89" s="20">
        <v>-31993</v>
      </c>
      <c r="P89" s="26">
        <v>45439</v>
      </c>
      <c r="Q89" s="125"/>
      <c r="R89" s="134"/>
      <c r="S89" s="132"/>
      <c r="T89" s="43"/>
      <c r="U89" s="43"/>
      <c r="V89" s="132"/>
      <c r="W89" s="1" t="str">
        <f t="shared" si="5"/>
        <v>31</v>
      </c>
      <c r="Z89" s="2"/>
      <c r="AB89" s="2"/>
      <c r="AC89" s="23"/>
    </row>
    <row r="90" spans="1:29" x14ac:dyDescent="0.2">
      <c r="A90" s="11" t="s">
        <v>118</v>
      </c>
      <c r="B90" s="20"/>
      <c r="C90" s="20"/>
      <c r="D90" s="82"/>
      <c r="E90" s="77"/>
      <c r="F90" s="20"/>
      <c r="G90" s="22"/>
      <c r="H90" s="28"/>
      <c r="I90" s="76"/>
      <c r="J90" s="22">
        <v>95173</v>
      </c>
      <c r="K90" s="22">
        <v>95173</v>
      </c>
      <c r="L90" s="28">
        <v>45288</v>
      </c>
      <c r="M90" s="76">
        <v>45288</v>
      </c>
      <c r="N90" s="107">
        <v>324041</v>
      </c>
      <c r="O90" s="22">
        <v>-41132</v>
      </c>
      <c r="P90" s="28">
        <v>45439</v>
      </c>
      <c r="Q90" s="28">
        <v>45439</v>
      </c>
      <c r="R90" s="134"/>
      <c r="S90" s="85"/>
      <c r="T90" s="82"/>
      <c r="U90" s="82"/>
      <c r="V90" s="132"/>
      <c r="W90" s="1" t="str">
        <f t="shared" si="5"/>
        <v>75</v>
      </c>
      <c r="Z90" s="2"/>
      <c r="AB90" s="2"/>
      <c r="AC90" s="23"/>
    </row>
    <row r="91" spans="1:29" x14ac:dyDescent="0.2">
      <c r="A91" s="11" t="s">
        <v>119</v>
      </c>
      <c r="B91" s="20"/>
      <c r="C91" s="20"/>
      <c r="D91" s="82"/>
      <c r="E91" s="77"/>
      <c r="F91" s="20"/>
      <c r="G91" s="22"/>
      <c r="H91" s="28"/>
      <c r="I91" s="76"/>
      <c r="J91" s="22">
        <v>2114963</v>
      </c>
      <c r="K91" s="22">
        <v>2114963</v>
      </c>
      <c r="L91" s="28">
        <v>45288</v>
      </c>
      <c r="M91" s="76">
        <v>45288</v>
      </c>
      <c r="N91" s="107">
        <v>7200897</v>
      </c>
      <c r="O91" s="22">
        <v>-914066</v>
      </c>
      <c r="P91" s="28">
        <v>45439</v>
      </c>
      <c r="Q91" s="28">
        <v>45439</v>
      </c>
      <c r="R91" s="134"/>
      <c r="S91" s="85"/>
      <c r="T91" s="82"/>
      <c r="U91" s="82"/>
      <c r="V91" s="132"/>
      <c r="W91" s="1" t="str">
        <f t="shared" si="5"/>
        <v>92</v>
      </c>
      <c r="Z91" s="2"/>
      <c r="AB91" s="2"/>
      <c r="AC91" s="23"/>
    </row>
    <row r="92" spans="1:29" x14ac:dyDescent="0.2">
      <c r="A92" s="11" t="s">
        <v>120</v>
      </c>
      <c r="B92" s="20"/>
      <c r="C92" s="20"/>
      <c r="D92" s="82"/>
      <c r="E92" s="77"/>
      <c r="F92" s="20"/>
      <c r="G92" s="22"/>
      <c r="H92" s="28"/>
      <c r="I92" s="76"/>
      <c r="J92" s="22">
        <v>1057481</v>
      </c>
      <c r="K92" s="22">
        <v>1057481</v>
      </c>
      <c r="L92" s="28">
        <v>45288</v>
      </c>
      <c r="M92" s="76">
        <v>45288</v>
      </c>
      <c r="N92" s="107">
        <v>3600446</v>
      </c>
      <c r="O92" s="22">
        <v>-457035</v>
      </c>
      <c r="P92" s="28">
        <v>45439</v>
      </c>
      <c r="Q92" s="28">
        <v>45439</v>
      </c>
      <c r="R92" s="134"/>
      <c r="S92" s="85"/>
      <c r="T92" s="82"/>
      <c r="U92" s="82"/>
      <c r="V92" s="132"/>
      <c r="W92" s="1" t="str">
        <f t="shared" si="5"/>
        <v>94</v>
      </c>
      <c r="Z92" s="2"/>
      <c r="AB92" s="2"/>
      <c r="AC92" s="23"/>
    </row>
    <row r="93" spans="1:29" ht="12" thickBot="1" x14ac:dyDescent="0.25">
      <c r="A93" s="12" t="s">
        <v>121</v>
      </c>
      <c r="B93" s="21"/>
      <c r="C93" s="21"/>
      <c r="D93" s="83"/>
      <c r="E93" s="77"/>
      <c r="F93" s="21"/>
      <c r="G93" s="24"/>
      <c r="H93" s="27"/>
      <c r="I93" s="76"/>
      <c r="J93" s="21">
        <v>126897</v>
      </c>
      <c r="K93" s="21">
        <v>126897</v>
      </c>
      <c r="L93" s="27">
        <v>45288</v>
      </c>
      <c r="M93" s="76">
        <v>45288</v>
      </c>
      <c r="N93" s="110">
        <v>432053</v>
      </c>
      <c r="O93" s="21">
        <v>-54844</v>
      </c>
      <c r="P93" s="27">
        <v>45439</v>
      </c>
      <c r="Q93" s="27">
        <v>45439</v>
      </c>
      <c r="R93" s="147"/>
      <c r="S93" s="33"/>
      <c r="T93" s="148"/>
      <c r="U93" s="148"/>
      <c r="V93" s="149"/>
      <c r="W93" s="1" t="str">
        <f t="shared" si="5"/>
        <v>95</v>
      </c>
      <c r="Z93" s="2"/>
      <c r="AB93" s="2"/>
      <c r="AC93" s="23"/>
    </row>
  </sheetData>
  <mergeCells count="7">
    <mergeCell ref="R4:U4"/>
    <mergeCell ref="A1:A3"/>
    <mergeCell ref="C1:Q3"/>
    <mergeCell ref="B4:E4"/>
    <mergeCell ref="F4:I4"/>
    <mergeCell ref="J4:M4"/>
    <mergeCell ref="N4:Q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C580-9E6D-4857-B163-2A20283C67A3}">
  <sheetPr codeName="Hoja1"/>
  <dimension ref="A1:V93"/>
  <sheetViews>
    <sheetView zoomScaleNormal="100" workbookViewId="0">
      <pane xSplit="1" ySplit="5" topLeftCell="B92" activePane="bottomRight" state="frozen"/>
      <selection pane="topRight" activeCell="B1" sqref="B1"/>
      <selection pane="bottomLeft" activeCell="A6" sqref="A6"/>
      <selection pane="bottomRight" activeCell="B46" sqref="B46"/>
    </sheetView>
  </sheetViews>
  <sheetFormatPr defaultColWidth="9.44140625" defaultRowHeight="11.4" outlineLevelCol="1" x14ac:dyDescent="0.2"/>
  <cols>
    <col min="1" max="1" width="19.44140625" style="1" bestFit="1" customWidth="1"/>
    <col min="2" max="2" width="19.44140625" style="1" customWidth="1" outlineLevel="1"/>
    <col min="3" max="3" width="15.5546875" style="23" customWidth="1" outlineLevel="1"/>
    <col min="4" max="4" width="11.5546875" style="2" customWidth="1" outlineLevel="1"/>
    <col min="5" max="5" width="14" style="2" customWidth="1" outlineLevel="1"/>
    <col min="6" max="6" width="15" style="2" customWidth="1" outlineLevel="1" collapsed="1"/>
    <col min="7" max="7" width="15.5546875" style="1" customWidth="1" outlineLevel="1"/>
    <col min="8" max="8" width="11.5546875" style="2" customWidth="1" outlineLevel="1"/>
    <col min="9" max="9" width="14" style="2" customWidth="1" outlineLevel="1"/>
    <col min="10" max="10" width="15.44140625" style="100" customWidth="1" outlineLevel="1" collapsed="1"/>
    <col min="11" max="11" width="16.44140625" style="1" customWidth="1" outlineLevel="1"/>
    <col min="12" max="12" width="13.5546875" style="2" customWidth="1" outlineLevel="1"/>
    <col min="13" max="13" width="14" style="2" customWidth="1" outlineLevel="1"/>
    <col min="14" max="14" width="21.5546875" style="23" bestFit="1" customWidth="1"/>
    <col min="15" max="15" width="15.5546875" style="1" bestFit="1" customWidth="1"/>
    <col min="16" max="16" width="15.5546875" style="163" bestFit="1" customWidth="1"/>
    <col min="17" max="17" width="14" style="2" bestFit="1" customWidth="1"/>
    <col min="18" max="18" width="18.44140625" style="1" bestFit="1" customWidth="1"/>
    <col min="19" max="19" width="12.5546875" style="1" bestFit="1" customWidth="1"/>
    <col min="20" max="20" width="10.44140625" style="1" bestFit="1" customWidth="1"/>
    <col min="21" max="21" width="9.44140625" style="1"/>
    <col min="22" max="22" width="17.44140625" style="1" bestFit="1" customWidth="1"/>
    <col min="23" max="16384" width="9.44140625" style="1"/>
  </cols>
  <sheetData>
    <row r="1" spans="1:22" ht="11.25" customHeight="1" x14ac:dyDescent="0.2">
      <c r="A1" s="215"/>
      <c r="B1" s="95"/>
      <c r="C1" s="221" t="s">
        <v>54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</row>
    <row r="2" spans="1:22" ht="11.25" customHeight="1" x14ac:dyDescent="0.2">
      <c r="A2" s="216"/>
      <c r="B2" s="96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</row>
    <row r="3" spans="1:22" ht="12" customHeight="1" thickBot="1" x14ac:dyDescent="0.25">
      <c r="A3" s="217"/>
      <c r="B3" s="97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</row>
    <row r="4" spans="1:22" ht="15" customHeight="1" x14ac:dyDescent="0.2">
      <c r="A4" s="9" t="s">
        <v>39</v>
      </c>
      <c r="B4" s="228" t="s">
        <v>40</v>
      </c>
      <c r="C4" s="229"/>
      <c r="D4" s="229"/>
      <c r="E4" s="230"/>
      <c r="F4" s="228" t="s">
        <v>41</v>
      </c>
      <c r="G4" s="229"/>
      <c r="H4" s="229"/>
      <c r="I4" s="230"/>
      <c r="J4" s="228" t="s">
        <v>42</v>
      </c>
      <c r="K4" s="229"/>
      <c r="L4" s="229"/>
      <c r="M4" s="230"/>
      <c r="N4" s="228" t="s">
        <v>43</v>
      </c>
      <c r="O4" s="229"/>
      <c r="P4" s="229"/>
      <c r="Q4" s="230"/>
    </row>
    <row r="5" spans="1:22" ht="12" thickBot="1" x14ac:dyDescent="0.25">
      <c r="A5" s="10" t="s">
        <v>38</v>
      </c>
      <c r="B5" s="10" t="s">
        <v>98</v>
      </c>
      <c r="C5" s="19" t="s">
        <v>56</v>
      </c>
      <c r="D5" s="14" t="s">
        <v>57</v>
      </c>
      <c r="E5" s="6" t="s">
        <v>58</v>
      </c>
      <c r="F5" s="98" t="s">
        <v>98</v>
      </c>
      <c r="G5" s="10" t="s">
        <v>56</v>
      </c>
      <c r="H5" s="14" t="s">
        <v>57</v>
      </c>
      <c r="I5" s="6" t="s">
        <v>58</v>
      </c>
      <c r="J5" s="98" t="s">
        <v>98</v>
      </c>
      <c r="K5" s="10" t="s">
        <v>56</v>
      </c>
      <c r="L5" s="14" t="s">
        <v>57</v>
      </c>
      <c r="M5" s="6" t="s">
        <v>58</v>
      </c>
      <c r="N5" s="104" t="s">
        <v>129</v>
      </c>
      <c r="O5" s="10" t="s">
        <v>56</v>
      </c>
      <c r="P5" s="153" t="s">
        <v>128</v>
      </c>
      <c r="Q5" s="6" t="s">
        <v>58</v>
      </c>
    </row>
    <row r="6" spans="1:22" x14ac:dyDescent="0.2">
      <c r="A6" s="34" t="s">
        <v>0</v>
      </c>
      <c r="B6" s="35">
        <v>2678769</v>
      </c>
      <c r="C6" s="35">
        <v>70863</v>
      </c>
      <c r="D6" s="36">
        <v>45426</v>
      </c>
      <c r="E6" s="76">
        <v>45427</v>
      </c>
      <c r="F6" s="35">
        <v>2610972</v>
      </c>
      <c r="G6" s="35">
        <v>41008</v>
      </c>
      <c r="H6" s="15">
        <v>45505</v>
      </c>
      <c r="I6" s="76">
        <v>45505</v>
      </c>
      <c r="J6" s="20">
        <v>2668354</v>
      </c>
      <c r="K6" s="20">
        <v>56011</v>
      </c>
      <c r="L6" s="15">
        <v>45601</v>
      </c>
      <c r="M6" s="76">
        <v>45601</v>
      </c>
      <c r="N6" s="105">
        <v>2689165</v>
      </c>
      <c r="O6" s="20">
        <v>19563</v>
      </c>
      <c r="P6" s="154">
        <v>1.007328</v>
      </c>
      <c r="Q6" s="76">
        <v>45694</v>
      </c>
      <c r="R6" s="103"/>
      <c r="S6" s="116"/>
      <c r="T6" s="116"/>
    </row>
    <row r="7" spans="1:22" x14ac:dyDescent="0.2">
      <c r="A7" s="38" t="s">
        <v>1</v>
      </c>
      <c r="B7" s="39">
        <v>89288</v>
      </c>
      <c r="C7" s="39">
        <v>2365</v>
      </c>
      <c r="D7" s="40">
        <v>45426</v>
      </c>
      <c r="E7" s="76">
        <v>45427</v>
      </c>
      <c r="F7" s="39">
        <v>87025</v>
      </c>
      <c r="G7" s="39">
        <v>1365</v>
      </c>
      <c r="H7" s="16">
        <v>45505</v>
      </c>
      <c r="I7" s="76">
        <v>45505</v>
      </c>
      <c r="J7" s="21">
        <v>88937</v>
      </c>
      <c r="K7" s="21">
        <v>1867</v>
      </c>
      <c r="L7" s="16">
        <v>45601</v>
      </c>
      <c r="M7" s="76">
        <v>45601</v>
      </c>
      <c r="N7" s="106">
        <v>89631</v>
      </c>
      <c r="O7" s="21">
        <v>653</v>
      </c>
      <c r="P7" s="155">
        <v>1.007328</v>
      </c>
      <c r="Q7" s="76">
        <v>45694</v>
      </c>
      <c r="R7" s="103"/>
      <c r="S7" s="116"/>
      <c r="T7" s="116"/>
    </row>
    <row r="8" spans="1:22" x14ac:dyDescent="0.2">
      <c r="A8" s="11" t="s">
        <v>67</v>
      </c>
      <c r="B8" s="20">
        <v>70133425</v>
      </c>
      <c r="C8" s="20">
        <v>1370330</v>
      </c>
      <c r="D8" s="26">
        <v>45414</v>
      </c>
      <c r="E8" s="76">
        <v>45415</v>
      </c>
      <c r="F8" s="20">
        <v>70207032</v>
      </c>
      <c r="G8" s="20">
        <v>994428</v>
      </c>
      <c r="H8" s="15">
        <v>45505</v>
      </c>
      <c r="I8" s="76">
        <v>45505</v>
      </c>
      <c r="J8" s="70">
        <v>67710661</v>
      </c>
      <c r="K8" s="70">
        <v>-1071550</v>
      </c>
      <c r="L8" s="71">
        <v>45601</v>
      </c>
      <c r="M8" s="76">
        <v>45601</v>
      </c>
      <c r="N8" s="107">
        <v>67001979</v>
      </c>
      <c r="O8" s="70">
        <v>1326582</v>
      </c>
      <c r="P8" s="156">
        <v>1.0201990000000001</v>
      </c>
      <c r="Q8" s="76">
        <v>45694</v>
      </c>
      <c r="S8" s="2"/>
      <c r="T8" s="23"/>
      <c r="U8" s="2"/>
    </row>
    <row r="9" spans="1:22" x14ac:dyDescent="0.2">
      <c r="A9" s="12" t="s">
        <v>68</v>
      </c>
      <c r="B9" s="21">
        <v>2922212</v>
      </c>
      <c r="C9" s="21">
        <v>57097</v>
      </c>
      <c r="D9" s="27">
        <v>45414</v>
      </c>
      <c r="E9" s="76">
        <v>45415</v>
      </c>
      <c r="F9" s="21">
        <v>2925284</v>
      </c>
      <c r="G9" s="21">
        <v>41439</v>
      </c>
      <c r="H9" s="16">
        <v>45505</v>
      </c>
      <c r="I9" s="76">
        <v>45505</v>
      </c>
      <c r="J9" s="21">
        <v>2821272</v>
      </c>
      <c r="K9" s="21">
        <v>-44645</v>
      </c>
      <c r="L9" s="16">
        <v>45601</v>
      </c>
      <c r="M9" s="76">
        <v>45601</v>
      </c>
      <c r="N9" s="106">
        <v>2791734</v>
      </c>
      <c r="O9" s="21">
        <v>55267</v>
      </c>
      <c r="P9" s="155">
        <v>1.0201990000000001</v>
      </c>
      <c r="Q9" s="76">
        <v>45694</v>
      </c>
      <c r="S9" s="2"/>
      <c r="T9" s="23"/>
      <c r="U9" s="2"/>
    </row>
    <row r="10" spans="1:22" x14ac:dyDescent="0.2">
      <c r="A10" s="11" t="s">
        <v>69</v>
      </c>
      <c r="B10" s="20">
        <v>1527153</v>
      </c>
      <c r="C10" s="20">
        <v>9010</v>
      </c>
      <c r="D10" s="26">
        <v>45414</v>
      </c>
      <c r="E10" s="76">
        <v>45415</v>
      </c>
      <c r="F10" s="20">
        <v>1390944</v>
      </c>
      <c r="G10" s="20">
        <v>-123318</v>
      </c>
      <c r="H10" s="15">
        <v>45505</v>
      </c>
      <c r="I10" s="76">
        <v>45505</v>
      </c>
      <c r="J10" s="20">
        <v>1404064</v>
      </c>
      <c r="K10" s="20">
        <v>6511</v>
      </c>
      <c r="L10" s="15">
        <v>45601</v>
      </c>
      <c r="M10" s="76">
        <v>45601</v>
      </c>
      <c r="N10" s="107">
        <v>1339133</v>
      </c>
      <c r="O10" s="20">
        <v>-30071</v>
      </c>
      <c r="P10" s="154">
        <v>0.97803700000000005</v>
      </c>
      <c r="Q10" s="76">
        <v>45694</v>
      </c>
      <c r="S10" s="2"/>
      <c r="T10" s="23"/>
      <c r="U10" s="2"/>
    </row>
    <row r="11" spans="1:22" x14ac:dyDescent="0.2">
      <c r="A11" s="13" t="s">
        <v>70</v>
      </c>
      <c r="B11" s="22">
        <v>68721652</v>
      </c>
      <c r="C11" s="22">
        <v>405528</v>
      </c>
      <c r="D11" s="28">
        <v>45414</v>
      </c>
      <c r="E11" s="76">
        <v>45415</v>
      </c>
      <c r="F11" s="22">
        <v>62592246</v>
      </c>
      <c r="G11" s="22">
        <v>-5549318</v>
      </c>
      <c r="H11" s="17">
        <v>45505</v>
      </c>
      <c r="I11" s="76">
        <v>45505</v>
      </c>
      <c r="J11" s="22">
        <v>63182522</v>
      </c>
      <c r="K11" s="22">
        <v>292864</v>
      </c>
      <c r="L11" s="17">
        <v>45601</v>
      </c>
      <c r="M11" s="76">
        <v>45601</v>
      </c>
      <c r="N11" s="107">
        <v>60260652</v>
      </c>
      <c r="O11" s="22">
        <v>-1353213</v>
      </c>
      <c r="P11" s="157">
        <v>0.97803700000000005</v>
      </c>
      <c r="Q11" s="76">
        <v>45694</v>
      </c>
      <c r="S11" s="2"/>
      <c r="T11" s="23"/>
      <c r="U11" s="2"/>
    </row>
    <row r="12" spans="1:22" x14ac:dyDescent="0.2">
      <c r="A12" s="12" t="s">
        <v>71</v>
      </c>
      <c r="B12" s="21">
        <v>6108578</v>
      </c>
      <c r="C12" s="21">
        <v>36048</v>
      </c>
      <c r="D12" s="27">
        <v>45414</v>
      </c>
      <c r="E12" s="76">
        <v>45415</v>
      </c>
      <c r="F12" s="21">
        <v>5563744</v>
      </c>
      <c r="G12" s="21">
        <v>-493271</v>
      </c>
      <c r="H12" s="16">
        <v>45505</v>
      </c>
      <c r="I12" s="76">
        <v>45505</v>
      </c>
      <c r="J12" s="21">
        <v>5616211</v>
      </c>
      <c r="K12" s="21">
        <v>26030</v>
      </c>
      <c r="L12" s="16">
        <v>45601</v>
      </c>
      <c r="M12" s="76">
        <v>45601</v>
      </c>
      <c r="N12" s="106">
        <v>5356484</v>
      </c>
      <c r="O12" s="21">
        <v>-120291</v>
      </c>
      <c r="P12" s="155">
        <v>0.97803700000000005</v>
      </c>
      <c r="Q12" s="76">
        <v>45694</v>
      </c>
      <c r="S12" s="2"/>
      <c r="T12" s="23"/>
      <c r="U12" s="2"/>
      <c r="V12" s="23"/>
    </row>
    <row r="13" spans="1:22" x14ac:dyDescent="0.2">
      <c r="A13" s="11" t="s">
        <v>72</v>
      </c>
      <c r="B13" s="20">
        <v>978137</v>
      </c>
      <c r="C13" s="20">
        <v>34020</v>
      </c>
      <c r="D13" s="26">
        <v>45414</v>
      </c>
      <c r="E13" s="76">
        <v>45415</v>
      </c>
      <c r="F13" s="20">
        <v>987570</v>
      </c>
      <c r="G13" s="20">
        <v>597</v>
      </c>
      <c r="H13" s="15">
        <v>45505</v>
      </c>
      <c r="I13" s="76">
        <v>45505</v>
      </c>
      <c r="J13" s="20">
        <v>1022248</v>
      </c>
      <c r="K13" s="20">
        <v>51270</v>
      </c>
      <c r="L13" s="15">
        <v>45601</v>
      </c>
      <c r="M13" s="76">
        <v>45601</v>
      </c>
      <c r="N13" s="107">
        <v>976604</v>
      </c>
      <c r="O13" s="20">
        <v>-14669</v>
      </c>
      <c r="P13" s="154">
        <v>0.98519999999999996</v>
      </c>
      <c r="Q13" s="76">
        <v>45695</v>
      </c>
      <c r="S13" s="2"/>
      <c r="T13" s="23"/>
      <c r="U13" s="2"/>
      <c r="V13" s="23"/>
    </row>
    <row r="14" spans="1:22" x14ac:dyDescent="0.2">
      <c r="A14" s="13" t="s">
        <v>73</v>
      </c>
      <c r="B14" s="22">
        <v>93464504</v>
      </c>
      <c r="C14" s="22">
        <v>3251575</v>
      </c>
      <c r="D14" s="28">
        <v>45414</v>
      </c>
      <c r="E14" s="76">
        <v>45415</v>
      </c>
      <c r="F14" s="22">
        <v>94365929</v>
      </c>
      <c r="G14" s="22">
        <v>57097</v>
      </c>
      <c r="H14" s="17">
        <v>45505</v>
      </c>
      <c r="I14" s="76">
        <v>45505</v>
      </c>
      <c r="J14" s="22">
        <v>97679752</v>
      </c>
      <c r="K14" s="22">
        <v>4899249</v>
      </c>
      <c r="L14" s="17">
        <v>45601</v>
      </c>
      <c r="M14" s="76">
        <v>45601</v>
      </c>
      <c r="N14" s="107">
        <v>93318111</v>
      </c>
      <c r="O14" s="22">
        <v>-1401885</v>
      </c>
      <c r="P14" s="157">
        <v>0.98519999999999996</v>
      </c>
      <c r="Q14" s="76">
        <v>45695</v>
      </c>
      <c r="S14" s="2"/>
      <c r="T14" s="23"/>
      <c r="U14" s="2"/>
      <c r="V14" s="103"/>
    </row>
    <row r="15" spans="1:22" x14ac:dyDescent="0.2">
      <c r="A15" s="13" t="s">
        <v>74</v>
      </c>
      <c r="B15" s="22">
        <v>3043014</v>
      </c>
      <c r="C15" s="22">
        <v>105854</v>
      </c>
      <c r="D15" s="28">
        <v>45414</v>
      </c>
      <c r="E15" s="76">
        <v>45415</v>
      </c>
      <c r="F15" s="22">
        <v>3072362</v>
      </c>
      <c r="G15" s="22">
        <v>1858</v>
      </c>
      <c r="H15" s="17">
        <v>45505</v>
      </c>
      <c r="I15" s="76">
        <v>45505</v>
      </c>
      <c r="J15" s="22">
        <v>3180256</v>
      </c>
      <c r="K15" s="22">
        <v>159512</v>
      </c>
      <c r="L15" s="17">
        <v>45601</v>
      </c>
      <c r="M15" s="76">
        <v>45601</v>
      </c>
      <c r="N15" s="107">
        <v>3038249</v>
      </c>
      <c r="O15" s="22">
        <v>-45643</v>
      </c>
      <c r="P15" s="157">
        <v>0.98519999999999996</v>
      </c>
      <c r="Q15" s="76">
        <v>45695</v>
      </c>
      <c r="S15" s="2"/>
      <c r="T15" s="23"/>
      <c r="U15" s="2"/>
      <c r="V15" s="102"/>
    </row>
    <row r="16" spans="1:22" x14ac:dyDescent="0.2">
      <c r="A16" s="12" t="s">
        <v>75</v>
      </c>
      <c r="B16" s="21">
        <v>11194014</v>
      </c>
      <c r="C16" s="21">
        <v>389453</v>
      </c>
      <c r="D16" s="27">
        <v>45414</v>
      </c>
      <c r="E16" s="76">
        <v>45415</v>
      </c>
      <c r="F16" s="21">
        <v>11301978</v>
      </c>
      <c r="G16" s="21">
        <v>6841</v>
      </c>
      <c r="H16" s="16">
        <v>45505</v>
      </c>
      <c r="I16" s="76">
        <v>45505</v>
      </c>
      <c r="J16" s="21">
        <v>11698867</v>
      </c>
      <c r="K16" s="21">
        <v>586772</v>
      </c>
      <c r="L16" s="16">
        <v>45601</v>
      </c>
      <c r="M16" s="76">
        <v>45601</v>
      </c>
      <c r="N16" s="108">
        <v>11176485</v>
      </c>
      <c r="O16" s="21">
        <v>-167900</v>
      </c>
      <c r="P16" s="155">
        <v>0.98519999999999996</v>
      </c>
      <c r="Q16" s="76">
        <v>45695</v>
      </c>
      <c r="S16" s="2"/>
      <c r="T16" s="23"/>
      <c r="U16" s="2"/>
    </row>
    <row r="17" spans="1:21" x14ac:dyDescent="0.2">
      <c r="A17" s="11" t="s">
        <v>77</v>
      </c>
      <c r="B17" s="20">
        <v>2802927</v>
      </c>
      <c r="C17" s="20">
        <v>766</v>
      </c>
      <c r="D17" s="27">
        <v>45414</v>
      </c>
      <c r="E17" s="76">
        <v>45418</v>
      </c>
      <c r="F17" s="20">
        <v>2966041</v>
      </c>
      <c r="G17" s="20">
        <v>41399</v>
      </c>
      <c r="H17" s="15">
        <v>45505</v>
      </c>
      <c r="I17" s="76">
        <v>45505</v>
      </c>
      <c r="J17" s="20">
        <v>3116707</v>
      </c>
      <c r="K17" s="20">
        <v>98658</v>
      </c>
      <c r="L17" s="15">
        <v>45601</v>
      </c>
      <c r="M17" s="76"/>
      <c r="N17" s="107">
        <v>3252392</v>
      </c>
      <c r="O17" s="20">
        <v>13210</v>
      </c>
      <c r="P17" s="154">
        <v>1.0040309999999999</v>
      </c>
      <c r="Q17" s="76">
        <v>45694</v>
      </c>
      <c r="S17" s="2"/>
      <c r="T17" s="23"/>
      <c r="U17" s="2"/>
    </row>
    <row r="18" spans="1:21" x14ac:dyDescent="0.2">
      <c r="A18" s="11" t="s">
        <v>76</v>
      </c>
      <c r="B18" s="20">
        <v>1955538</v>
      </c>
      <c r="C18" s="22">
        <v>535</v>
      </c>
      <c r="D18" s="27">
        <v>45414</v>
      </c>
      <c r="E18" s="76">
        <v>45418</v>
      </c>
      <c r="F18" s="20">
        <v>2069344</v>
      </c>
      <c r="G18" s="22">
        <v>28889</v>
      </c>
      <c r="H18" s="17">
        <v>45505</v>
      </c>
      <c r="I18" s="76">
        <v>45505</v>
      </c>
      <c r="J18" s="22">
        <v>2174459</v>
      </c>
      <c r="K18" s="22">
        <v>68830</v>
      </c>
      <c r="L18" s="17">
        <v>45601</v>
      </c>
      <c r="M18" s="76">
        <v>45601</v>
      </c>
      <c r="N18" s="107">
        <v>2269128</v>
      </c>
      <c r="O18" s="22">
        <v>9221</v>
      </c>
      <c r="P18" s="157">
        <v>1.0040309999999999</v>
      </c>
      <c r="Q18" s="76">
        <v>45694</v>
      </c>
      <c r="S18" s="2"/>
      <c r="T18" s="23"/>
      <c r="U18" s="2"/>
    </row>
    <row r="19" spans="1:21" x14ac:dyDescent="0.2">
      <c r="A19" s="11" t="s">
        <v>78</v>
      </c>
      <c r="B19" s="20">
        <v>107554283</v>
      </c>
      <c r="C19" s="22">
        <v>29245</v>
      </c>
      <c r="D19" s="27">
        <v>45414</v>
      </c>
      <c r="E19" s="76">
        <v>45418</v>
      </c>
      <c r="F19" s="20">
        <v>113813324</v>
      </c>
      <c r="G19" s="22">
        <v>1588617</v>
      </c>
      <c r="H19" s="17">
        <v>45505</v>
      </c>
      <c r="I19" s="76">
        <v>45505</v>
      </c>
      <c r="J19" s="22">
        <v>119594678</v>
      </c>
      <c r="K19" s="22">
        <v>3785718</v>
      </c>
      <c r="L19" s="17">
        <v>45601</v>
      </c>
      <c r="M19" s="76">
        <v>45601</v>
      </c>
      <c r="N19" s="107">
        <v>124801216</v>
      </c>
      <c r="O19" s="22">
        <v>506972</v>
      </c>
      <c r="P19" s="157">
        <v>1.0040309999999999</v>
      </c>
      <c r="Q19" s="76">
        <v>45694</v>
      </c>
      <c r="S19" s="2"/>
      <c r="T19" s="23"/>
      <c r="U19" s="2"/>
    </row>
    <row r="20" spans="1:21" x14ac:dyDescent="0.2">
      <c r="A20" s="11" t="s">
        <v>79</v>
      </c>
      <c r="B20" s="20">
        <v>48888321</v>
      </c>
      <c r="C20" s="22">
        <v>13297</v>
      </c>
      <c r="D20" s="27">
        <v>45414</v>
      </c>
      <c r="E20" s="76">
        <v>45418</v>
      </c>
      <c r="F20" s="20">
        <v>51733341</v>
      </c>
      <c r="G20" s="22">
        <v>722101</v>
      </c>
      <c r="H20" s="17">
        <v>45505</v>
      </c>
      <c r="I20" s="76">
        <v>45505</v>
      </c>
      <c r="J20" s="22">
        <v>54361236</v>
      </c>
      <c r="K20" s="22">
        <v>1720788</v>
      </c>
      <c r="L20" s="28">
        <v>45601</v>
      </c>
      <c r="M20" s="76">
        <v>45601</v>
      </c>
      <c r="N20" s="107">
        <v>56727837</v>
      </c>
      <c r="O20" s="22">
        <v>230432</v>
      </c>
      <c r="P20" s="155">
        <v>1.0040309999999999</v>
      </c>
      <c r="Q20" s="76">
        <v>45694</v>
      </c>
      <c r="S20" s="2"/>
      <c r="T20" s="23"/>
      <c r="U20" s="2"/>
    </row>
    <row r="21" spans="1:21" x14ac:dyDescent="0.2">
      <c r="A21" s="11" t="s">
        <v>80</v>
      </c>
      <c r="B21" s="20">
        <v>3259220</v>
      </c>
      <c r="C21" s="22">
        <v>886</v>
      </c>
      <c r="D21" s="27">
        <v>45414</v>
      </c>
      <c r="E21" s="76">
        <v>45418</v>
      </c>
      <c r="F21" s="20">
        <v>3448885</v>
      </c>
      <c r="G21" s="22">
        <v>48137</v>
      </c>
      <c r="H21" s="17">
        <v>45505</v>
      </c>
      <c r="I21" s="76">
        <v>45505</v>
      </c>
      <c r="J21" s="22">
        <v>3624076</v>
      </c>
      <c r="K21" s="22">
        <v>114717</v>
      </c>
      <c r="L21" s="28">
        <v>45601</v>
      </c>
      <c r="M21" s="76">
        <v>45601</v>
      </c>
      <c r="N21" s="107">
        <v>3781849</v>
      </c>
      <c r="O21" s="22">
        <v>15361</v>
      </c>
      <c r="P21" s="154">
        <v>1.0040309999999999</v>
      </c>
      <c r="Q21" s="76">
        <v>45694</v>
      </c>
      <c r="S21" s="2"/>
      <c r="T21" s="23"/>
      <c r="U21" s="2"/>
    </row>
    <row r="22" spans="1:21" x14ac:dyDescent="0.2">
      <c r="A22" s="11" t="s">
        <v>81</v>
      </c>
      <c r="B22" s="20">
        <v>3845881.1566417487</v>
      </c>
      <c r="C22" s="22">
        <v>1047.7259194292128</v>
      </c>
      <c r="D22" s="27">
        <v>45414</v>
      </c>
      <c r="E22" s="76">
        <v>45418</v>
      </c>
      <c r="F22" s="20">
        <v>4069693.8743241467</v>
      </c>
      <c r="G22" s="22">
        <v>56809.393222603947</v>
      </c>
      <c r="H22" s="17">
        <v>45505</v>
      </c>
      <c r="I22" s="76">
        <v>45505</v>
      </c>
      <c r="J22" s="22">
        <v>4276419.4288736908</v>
      </c>
      <c r="K22" s="22">
        <v>135366.95008066157</v>
      </c>
      <c r="L22" s="17">
        <v>45601</v>
      </c>
      <c r="M22" s="76">
        <v>45601</v>
      </c>
      <c r="N22" s="107">
        <v>4462586.3360450799</v>
      </c>
      <c r="O22" s="22">
        <v>18121.566470201127</v>
      </c>
      <c r="P22" s="157">
        <v>1.0040309999999999</v>
      </c>
      <c r="Q22" s="76">
        <v>45694</v>
      </c>
      <c r="S22" s="2"/>
      <c r="T22" s="23"/>
      <c r="U22" s="2"/>
    </row>
    <row r="23" spans="1:21" x14ac:dyDescent="0.2">
      <c r="A23" s="68" t="s">
        <v>82</v>
      </c>
      <c r="B23" s="21">
        <v>195552.84335825135</v>
      </c>
      <c r="C23" s="21">
        <v>53.274080570787191</v>
      </c>
      <c r="D23" s="27">
        <v>45414</v>
      </c>
      <c r="E23" s="76">
        <v>45418</v>
      </c>
      <c r="F23" s="21">
        <v>206933.12567585375</v>
      </c>
      <c r="G23" s="21">
        <v>2888.6067773965478</v>
      </c>
      <c r="H23" s="16">
        <v>45505</v>
      </c>
      <c r="I23" s="76">
        <v>45505</v>
      </c>
      <c r="J23" s="21">
        <v>217444.57112630931</v>
      </c>
      <c r="K23" s="21">
        <v>6883.0499193383439</v>
      </c>
      <c r="L23" s="16">
        <v>45601</v>
      </c>
      <c r="M23" s="76">
        <v>45601</v>
      </c>
      <c r="N23" s="108">
        <v>226910.66395492034</v>
      </c>
      <c r="O23" s="21">
        <v>921.43352979936753</v>
      </c>
      <c r="P23" s="157">
        <v>1.0040309999999999</v>
      </c>
      <c r="Q23" s="76">
        <v>45694</v>
      </c>
      <c r="S23" s="2"/>
      <c r="T23" s="23"/>
      <c r="U23" s="2"/>
    </row>
    <row r="24" spans="1:21" x14ac:dyDescent="0.2">
      <c r="A24" s="67" t="s">
        <v>97</v>
      </c>
      <c r="B24" s="72">
        <v>74347049</v>
      </c>
      <c r="C24" s="72">
        <v>14308539</v>
      </c>
      <c r="D24" s="30">
        <v>45414</v>
      </c>
      <c r="E24" s="76">
        <v>45418</v>
      </c>
      <c r="F24" s="72">
        <v>94214233</v>
      </c>
      <c r="G24" s="72">
        <v>12212184</v>
      </c>
      <c r="H24" s="73">
        <v>45505</v>
      </c>
      <c r="I24" s="76">
        <v>45505</v>
      </c>
      <c r="J24" s="72">
        <v>93589860</v>
      </c>
      <c r="K24" s="72">
        <v>6975627</v>
      </c>
      <c r="L24" s="73">
        <v>45601</v>
      </c>
      <c r="M24" s="76">
        <v>45601</v>
      </c>
      <c r="N24" s="109">
        <v>106436281</v>
      </c>
      <c r="O24" s="72">
        <v>8730274</v>
      </c>
      <c r="P24" s="157">
        <v>1.0893520000000001</v>
      </c>
      <c r="Q24" s="76">
        <v>45694</v>
      </c>
    </row>
    <row r="25" spans="1:21" x14ac:dyDescent="0.2">
      <c r="A25" s="67" t="s">
        <v>2</v>
      </c>
      <c r="B25" s="72">
        <v>818979</v>
      </c>
      <c r="C25" s="72">
        <v>-896</v>
      </c>
      <c r="D25" s="30">
        <v>45457</v>
      </c>
      <c r="E25" s="76">
        <v>45460</v>
      </c>
      <c r="F25" s="72">
        <v>763207</v>
      </c>
      <c r="G25" s="72">
        <v>8293</v>
      </c>
      <c r="H25" s="73">
        <v>45552</v>
      </c>
      <c r="I25" s="76">
        <v>45553</v>
      </c>
      <c r="J25" s="72">
        <v>551801</v>
      </c>
      <c r="K25" s="72">
        <v>-15372</v>
      </c>
      <c r="L25" s="16">
        <v>45645</v>
      </c>
      <c r="M25" s="77">
        <v>45646</v>
      </c>
      <c r="N25" s="109">
        <v>529177</v>
      </c>
      <c r="O25" s="72">
        <v>-22624</v>
      </c>
      <c r="P25" s="158">
        <v>0.95899999999999996</v>
      </c>
      <c r="Q25" s="76">
        <v>45782</v>
      </c>
    </row>
    <row r="26" spans="1:21" x14ac:dyDescent="0.2">
      <c r="A26" s="12" t="s">
        <v>5</v>
      </c>
      <c r="B26" s="21">
        <v>2720106</v>
      </c>
      <c r="C26" s="21">
        <v>-174713</v>
      </c>
      <c r="D26" s="27">
        <v>45462</v>
      </c>
      <c r="E26" s="77">
        <v>45462</v>
      </c>
      <c r="F26" s="21">
        <v>2662198</v>
      </c>
      <c r="G26" s="21">
        <v>-57908</v>
      </c>
      <c r="H26" s="16">
        <v>45552</v>
      </c>
      <c r="I26" s="76">
        <v>45553</v>
      </c>
      <c r="J26" s="21">
        <v>2668743</v>
      </c>
      <c r="K26" s="21">
        <v>6545</v>
      </c>
      <c r="L26" s="16">
        <v>45645</v>
      </c>
      <c r="M26" s="77">
        <v>45646</v>
      </c>
      <c r="N26" s="108">
        <v>2355945</v>
      </c>
      <c r="O26" s="21">
        <v>-112798</v>
      </c>
      <c r="P26" s="155">
        <v>0.95430999999999999</v>
      </c>
      <c r="Q26" s="76">
        <v>45786</v>
      </c>
    </row>
    <row r="27" spans="1:21" x14ac:dyDescent="0.2">
      <c r="A27" s="12" t="s">
        <v>6</v>
      </c>
      <c r="B27" s="21">
        <v>3318092</v>
      </c>
      <c r="C27" s="21">
        <v>-116372</v>
      </c>
      <c r="D27" s="27">
        <v>45483</v>
      </c>
      <c r="E27" s="77">
        <v>45488</v>
      </c>
      <c r="F27" s="21">
        <v>3097674</v>
      </c>
      <c r="G27" s="21">
        <v>-41511</v>
      </c>
      <c r="H27" s="16">
        <v>45553</v>
      </c>
      <c r="I27" s="76">
        <v>45553</v>
      </c>
      <c r="J27" s="21">
        <v>3005218</v>
      </c>
      <c r="K27" s="21">
        <v>-92456</v>
      </c>
      <c r="L27" s="16">
        <v>45652</v>
      </c>
      <c r="M27" s="76">
        <v>45652</v>
      </c>
      <c r="N27" s="99">
        <v>2454539</v>
      </c>
      <c r="O27" s="21">
        <v>118945</v>
      </c>
      <c r="P27" s="155">
        <v>1.053912</v>
      </c>
      <c r="Q27" s="76">
        <v>45782</v>
      </c>
    </row>
    <row r="28" spans="1:21" x14ac:dyDescent="0.2">
      <c r="A28" s="11" t="s">
        <v>7</v>
      </c>
      <c r="B28" s="20">
        <v>146819</v>
      </c>
      <c r="C28" s="20">
        <v>-4064</v>
      </c>
      <c r="D28" s="26">
        <v>45476</v>
      </c>
      <c r="E28" s="76">
        <v>45476</v>
      </c>
      <c r="F28" s="20">
        <v>146251</v>
      </c>
      <c r="G28" s="20">
        <v>-568</v>
      </c>
      <c r="H28" s="15">
        <v>45552</v>
      </c>
      <c r="I28" s="76">
        <v>45553</v>
      </c>
      <c r="J28" s="20">
        <v>137791</v>
      </c>
      <c r="K28" s="20">
        <v>-4371</v>
      </c>
      <c r="L28" s="15">
        <v>45653</v>
      </c>
      <c r="M28" s="76">
        <v>45653</v>
      </c>
      <c r="N28" s="107">
        <v>114212</v>
      </c>
      <c r="O28" s="20">
        <v>296</v>
      </c>
      <c r="P28" s="154">
        <v>1.0026716666666668</v>
      </c>
      <c r="Q28" s="76">
        <v>45782</v>
      </c>
    </row>
    <row r="29" spans="1:21" x14ac:dyDescent="0.2">
      <c r="A29" s="13" t="s">
        <v>8</v>
      </c>
      <c r="B29" s="22">
        <v>3201183</v>
      </c>
      <c r="C29" s="22">
        <v>-88617</v>
      </c>
      <c r="D29" s="28">
        <v>45476</v>
      </c>
      <c r="E29" s="76">
        <v>45476</v>
      </c>
      <c r="F29" s="22">
        <v>3188797</v>
      </c>
      <c r="G29" s="22">
        <v>-12386</v>
      </c>
      <c r="H29" s="17">
        <v>45552</v>
      </c>
      <c r="I29" s="76">
        <v>45553</v>
      </c>
      <c r="J29" s="22">
        <v>3004320</v>
      </c>
      <c r="K29" s="22">
        <v>-95321</v>
      </c>
      <c r="L29" s="15">
        <v>45653</v>
      </c>
      <c r="M29" s="76">
        <v>45653</v>
      </c>
      <c r="N29" s="107">
        <v>2490299</v>
      </c>
      <c r="O29" s="22">
        <v>6439</v>
      </c>
      <c r="P29" s="157">
        <v>1.0026716666666668</v>
      </c>
      <c r="Q29" s="76">
        <v>45782</v>
      </c>
    </row>
    <row r="30" spans="1:21" x14ac:dyDescent="0.2">
      <c r="A30" s="12" t="s">
        <v>9</v>
      </c>
      <c r="B30" s="21">
        <v>176226</v>
      </c>
      <c r="C30" s="21">
        <v>-4878</v>
      </c>
      <c r="D30" s="27">
        <v>45476</v>
      </c>
      <c r="E30" s="77">
        <v>45476</v>
      </c>
      <c r="F30" s="21">
        <v>175542</v>
      </c>
      <c r="G30" s="21">
        <v>-684</v>
      </c>
      <c r="H30" s="16">
        <v>45552</v>
      </c>
      <c r="I30" s="76">
        <v>45553</v>
      </c>
      <c r="J30" s="21">
        <v>165385</v>
      </c>
      <c r="K30" s="21">
        <v>-5249</v>
      </c>
      <c r="L30" s="16">
        <v>45653</v>
      </c>
      <c r="M30" s="76">
        <v>45653</v>
      </c>
      <c r="N30" s="21">
        <v>137090</v>
      </c>
      <c r="O30" s="21">
        <v>354</v>
      </c>
      <c r="P30" s="155">
        <v>1.0026716666666668</v>
      </c>
      <c r="Q30" s="76">
        <v>45782</v>
      </c>
    </row>
    <row r="31" spans="1:21" x14ac:dyDescent="0.2">
      <c r="A31" s="11" t="s">
        <v>10</v>
      </c>
      <c r="B31" s="20">
        <v>241405</v>
      </c>
      <c r="C31" s="20">
        <v>988</v>
      </c>
      <c r="D31" s="26">
        <v>45421</v>
      </c>
      <c r="E31" s="76">
        <v>45421</v>
      </c>
      <c r="F31" s="20">
        <v>238591</v>
      </c>
      <c r="G31" s="20">
        <v>-2098</v>
      </c>
      <c r="H31" s="15">
        <v>45518</v>
      </c>
      <c r="I31" s="76">
        <v>45519</v>
      </c>
      <c r="J31" s="20">
        <v>219581</v>
      </c>
      <c r="K31" s="20">
        <v>-1256</v>
      </c>
      <c r="L31" s="15">
        <v>45611</v>
      </c>
      <c r="M31" s="76">
        <v>45611</v>
      </c>
      <c r="N31" s="107">
        <v>212132</v>
      </c>
      <c r="O31" s="20">
        <v>-1129</v>
      </c>
      <c r="P31" s="154">
        <v>0.99461100000000002</v>
      </c>
      <c r="Q31" s="76">
        <v>45757</v>
      </c>
    </row>
    <row r="32" spans="1:21" x14ac:dyDescent="0.2">
      <c r="A32" s="13" t="s">
        <v>11</v>
      </c>
      <c r="B32" s="22">
        <v>9656104</v>
      </c>
      <c r="C32" s="22">
        <v>39595</v>
      </c>
      <c r="D32" s="26">
        <v>45421</v>
      </c>
      <c r="E32" s="76">
        <v>45421</v>
      </c>
      <c r="F32" s="22">
        <v>9543539</v>
      </c>
      <c r="G32" s="22">
        <v>-83833</v>
      </c>
      <c r="H32" s="15">
        <v>45518</v>
      </c>
      <c r="I32" s="76">
        <v>45519</v>
      </c>
      <c r="J32" s="22">
        <v>8783149</v>
      </c>
      <c r="K32" s="22">
        <v>-50251</v>
      </c>
      <c r="L32" s="17">
        <v>45611</v>
      </c>
      <c r="M32" s="76">
        <v>45611</v>
      </c>
      <c r="N32" s="107">
        <v>8485178</v>
      </c>
      <c r="O32" s="22">
        <v>-45108</v>
      </c>
      <c r="P32" s="157">
        <v>0.99461100000000002</v>
      </c>
      <c r="Q32" s="76">
        <v>45757</v>
      </c>
    </row>
    <row r="33" spans="1:22" x14ac:dyDescent="0.2">
      <c r="A33" s="12" t="s">
        <v>12</v>
      </c>
      <c r="B33" s="21">
        <v>482816</v>
      </c>
      <c r="C33" s="21">
        <v>1981</v>
      </c>
      <c r="D33" s="27">
        <v>45421</v>
      </c>
      <c r="E33" s="76">
        <v>45421</v>
      </c>
      <c r="F33" s="21">
        <v>477188</v>
      </c>
      <c r="G33" s="21">
        <v>-4190</v>
      </c>
      <c r="H33" s="15">
        <v>45518</v>
      </c>
      <c r="I33" s="76">
        <v>45519</v>
      </c>
      <c r="J33" s="21">
        <v>439168</v>
      </c>
      <c r="K33" s="21">
        <v>-2515</v>
      </c>
      <c r="L33" s="16">
        <v>45611</v>
      </c>
      <c r="M33" s="76">
        <v>45611</v>
      </c>
      <c r="N33" s="108">
        <v>424270</v>
      </c>
      <c r="O33" s="21">
        <v>-2258</v>
      </c>
      <c r="P33" s="155">
        <v>0.99461100000000002</v>
      </c>
      <c r="Q33" s="77">
        <v>45757</v>
      </c>
    </row>
    <row r="34" spans="1:22" x14ac:dyDescent="0.2">
      <c r="A34" s="11" t="s">
        <v>101</v>
      </c>
      <c r="B34" s="20">
        <v>450549</v>
      </c>
      <c r="C34" s="20">
        <v>5958</v>
      </c>
      <c r="D34" s="26">
        <v>45427</v>
      </c>
      <c r="E34" s="76">
        <v>45337</v>
      </c>
      <c r="F34" s="20">
        <v>456778</v>
      </c>
      <c r="G34" s="20">
        <v>6229</v>
      </c>
      <c r="H34" s="15">
        <v>45503</v>
      </c>
      <c r="I34" s="76">
        <v>45503</v>
      </c>
      <c r="J34" s="20">
        <v>472707</v>
      </c>
      <c r="K34" s="20">
        <v>15929</v>
      </c>
      <c r="L34" s="15">
        <v>45596</v>
      </c>
      <c r="M34" s="76">
        <v>45597</v>
      </c>
      <c r="N34" s="107">
        <v>478341</v>
      </c>
      <c r="O34" s="20">
        <v>5634</v>
      </c>
      <c r="P34" s="154">
        <v>1.0119183333333335</v>
      </c>
      <c r="Q34" s="76">
        <v>45691</v>
      </c>
    </row>
    <row r="35" spans="1:22" x14ac:dyDescent="0.2">
      <c r="A35" s="13" t="s">
        <v>100</v>
      </c>
      <c r="B35" s="22">
        <v>13570735</v>
      </c>
      <c r="C35" s="22">
        <v>179453</v>
      </c>
      <c r="D35" s="28">
        <v>45427</v>
      </c>
      <c r="E35" s="76">
        <v>45337</v>
      </c>
      <c r="F35" s="22">
        <v>13758359</v>
      </c>
      <c r="G35" s="22">
        <v>187624</v>
      </c>
      <c r="H35" s="15">
        <v>45503</v>
      </c>
      <c r="I35" s="76">
        <v>45503</v>
      </c>
      <c r="J35" s="22">
        <v>14238151</v>
      </c>
      <c r="K35" s="22">
        <v>479792</v>
      </c>
      <c r="L35" s="17">
        <v>45596</v>
      </c>
      <c r="M35" s="76">
        <v>45597</v>
      </c>
      <c r="N35" s="107">
        <v>14407843</v>
      </c>
      <c r="O35" s="22">
        <v>169692</v>
      </c>
      <c r="P35" s="157">
        <v>1.0119183333333335</v>
      </c>
      <c r="Q35" s="76">
        <v>45691</v>
      </c>
    </row>
    <row r="36" spans="1:22" x14ac:dyDescent="0.2">
      <c r="A36" s="12" t="s">
        <v>15</v>
      </c>
      <c r="B36" s="21">
        <v>1357074</v>
      </c>
      <c r="C36" s="21">
        <v>17946</v>
      </c>
      <c r="D36" s="27">
        <v>45427</v>
      </c>
      <c r="E36" s="76">
        <v>45337</v>
      </c>
      <c r="F36" s="21">
        <v>1375837</v>
      </c>
      <c r="G36" s="21">
        <v>18763</v>
      </c>
      <c r="H36" s="16">
        <v>45503</v>
      </c>
      <c r="I36" s="76">
        <v>45503</v>
      </c>
      <c r="J36" s="21">
        <v>1423815</v>
      </c>
      <c r="K36" s="21">
        <v>47978</v>
      </c>
      <c r="L36" s="16">
        <v>45596</v>
      </c>
      <c r="M36" s="76">
        <v>45597</v>
      </c>
      <c r="N36" s="108">
        <v>1440784</v>
      </c>
      <c r="O36" s="21">
        <v>21212</v>
      </c>
      <c r="P36" s="155">
        <v>1.0119183333333335</v>
      </c>
      <c r="Q36" s="76">
        <v>45691</v>
      </c>
    </row>
    <row r="37" spans="1:22" x14ac:dyDescent="0.2">
      <c r="A37" s="11" t="s">
        <v>102</v>
      </c>
      <c r="B37" s="20">
        <v>1000372.56</v>
      </c>
      <c r="C37" s="20">
        <v>-29049.119999999941</v>
      </c>
      <c r="D37" s="29">
        <v>45398</v>
      </c>
      <c r="E37" s="76">
        <v>45399</v>
      </c>
      <c r="F37" s="20">
        <v>933220.03</v>
      </c>
      <c r="G37" s="20">
        <v>-15787.430000000051</v>
      </c>
      <c r="H37" s="15">
        <v>45489</v>
      </c>
      <c r="I37" s="76">
        <v>45489</v>
      </c>
      <c r="J37" s="20">
        <v>890953.38</v>
      </c>
      <c r="K37" s="20">
        <v>4661.1399999999858</v>
      </c>
      <c r="L37" s="26">
        <v>45580</v>
      </c>
      <c r="M37" s="76">
        <v>45581</v>
      </c>
      <c r="N37" s="20">
        <v>863555.27</v>
      </c>
      <c r="O37" s="20">
        <v>13056.080000000051</v>
      </c>
      <c r="P37" s="154">
        <v>1.0153509999999999</v>
      </c>
      <c r="Q37" s="76">
        <v>45673</v>
      </c>
      <c r="R37" s="23"/>
    </row>
    <row r="38" spans="1:22" x14ac:dyDescent="0.2">
      <c r="A38" s="13" t="s">
        <v>103</v>
      </c>
      <c r="B38" s="22">
        <v>23566427.899999999</v>
      </c>
      <c r="C38" s="22">
        <v>-686468.74000000092</v>
      </c>
      <c r="D38" s="26">
        <v>45398</v>
      </c>
      <c r="E38" s="76">
        <v>45399</v>
      </c>
      <c r="F38" s="22">
        <v>21984472.23</v>
      </c>
      <c r="G38" s="20">
        <v>-372013.09999999776</v>
      </c>
      <c r="H38" s="15">
        <v>45489</v>
      </c>
      <c r="I38" s="76">
        <v>45489</v>
      </c>
      <c r="J38" s="22">
        <v>20988769.390000001</v>
      </c>
      <c r="K38" s="22">
        <v>111098.71000000104</v>
      </c>
      <c r="L38" s="28">
        <v>45580</v>
      </c>
      <c r="M38" s="76">
        <v>45581</v>
      </c>
      <c r="N38" s="20">
        <v>20343333.890000001</v>
      </c>
      <c r="O38" s="20">
        <v>307570.32999999984</v>
      </c>
      <c r="P38" s="154">
        <v>1.0153509999999999</v>
      </c>
      <c r="Q38" s="76">
        <v>45673</v>
      </c>
      <c r="R38" s="23"/>
      <c r="S38" s="23"/>
    </row>
    <row r="39" spans="1:22" x14ac:dyDescent="0.2">
      <c r="A39" s="12" t="s">
        <v>61</v>
      </c>
      <c r="B39" s="21">
        <v>2087751.26</v>
      </c>
      <c r="C39" s="21">
        <v>-60848.789999999863</v>
      </c>
      <c r="D39" s="30">
        <v>45398</v>
      </c>
      <c r="E39" s="76">
        <v>45399</v>
      </c>
      <c r="F39" s="21">
        <v>1947605.71</v>
      </c>
      <c r="G39" s="24">
        <v>-32990.979999999981</v>
      </c>
      <c r="H39" s="16">
        <v>45489</v>
      </c>
      <c r="I39" s="77">
        <v>45489</v>
      </c>
      <c r="J39" s="21">
        <v>1859396.34</v>
      </c>
      <c r="K39" s="21">
        <v>9842.2500000001673</v>
      </c>
      <c r="L39" s="27">
        <v>45580</v>
      </c>
      <c r="M39" s="76">
        <v>45581</v>
      </c>
      <c r="N39" s="24">
        <v>1802217.17</v>
      </c>
      <c r="O39" s="24">
        <v>27247.669999999795</v>
      </c>
      <c r="P39" s="159">
        <v>1.0153509999999999</v>
      </c>
      <c r="Q39" s="76">
        <v>45673</v>
      </c>
    </row>
    <row r="40" spans="1:22" ht="15" customHeight="1" x14ac:dyDescent="0.2">
      <c r="A40" s="150" t="s">
        <v>122</v>
      </c>
      <c r="B40" s="20">
        <v>79640.179999999993</v>
      </c>
      <c r="C40" s="20">
        <v>20759.640000000014</v>
      </c>
      <c r="D40" s="26">
        <v>45435</v>
      </c>
      <c r="E40" s="76">
        <v>45436</v>
      </c>
      <c r="F40" s="20">
        <v>45112.49</v>
      </c>
      <c r="G40" s="20">
        <v>-34527.689999999995</v>
      </c>
      <c r="H40" s="15">
        <v>45525</v>
      </c>
      <c r="I40" s="76">
        <v>45533</v>
      </c>
      <c r="J40" s="20">
        <v>16917.62</v>
      </c>
      <c r="K40" s="20">
        <v>-28194.87</v>
      </c>
      <c r="L40" s="26">
        <v>45614</v>
      </c>
      <c r="M40" s="76">
        <v>45624</v>
      </c>
      <c r="N40" s="231" t="s">
        <v>130</v>
      </c>
      <c r="O40" s="232"/>
      <c r="P40" s="232"/>
      <c r="Q40" s="233"/>
    </row>
    <row r="41" spans="1:22" ht="15" customHeight="1" x14ac:dyDescent="0.2">
      <c r="A41" s="152" t="s">
        <v>123</v>
      </c>
      <c r="B41" s="21">
        <v>47198.11</v>
      </c>
      <c r="C41" s="21">
        <v>1706.3899999999994</v>
      </c>
      <c r="D41" s="27">
        <v>45435</v>
      </c>
      <c r="E41" s="76">
        <v>45436</v>
      </c>
      <c r="F41" s="21">
        <v>17050.39</v>
      </c>
      <c r="G41" s="21">
        <v>-30147.72</v>
      </c>
      <c r="H41" s="15">
        <v>45525</v>
      </c>
      <c r="I41" s="76">
        <v>45533</v>
      </c>
      <c r="J41" s="21">
        <v>0</v>
      </c>
      <c r="K41" s="21">
        <v>-17050.39</v>
      </c>
      <c r="L41" s="27">
        <v>45614</v>
      </c>
      <c r="M41" s="76">
        <v>45624</v>
      </c>
      <c r="N41" s="231"/>
      <c r="O41" s="232"/>
      <c r="P41" s="232"/>
      <c r="Q41" s="233"/>
    </row>
    <row r="42" spans="1:22" x14ac:dyDescent="0.2">
      <c r="A42" s="12" t="s">
        <v>18</v>
      </c>
      <c r="B42" s="21">
        <v>951020</v>
      </c>
      <c r="C42" s="21">
        <v>7026</v>
      </c>
      <c r="D42" s="27">
        <v>45520</v>
      </c>
      <c r="E42" s="77">
        <v>45524</v>
      </c>
      <c r="F42" s="21">
        <v>914021</v>
      </c>
      <c r="G42" s="21">
        <v>-3794</v>
      </c>
      <c r="H42" s="16">
        <v>45544</v>
      </c>
      <c r="I42" s="77">
        <v>45545</v>
      </c>
      <c r="J42" s="21">
        <v>719492</v>
      </c>
      <c r="K42" s="21">
        <v>-144670</v>
      </c>
      <c r="L42" s="27">
        <v>45625</v>
      </c>
      <c r="M42" s="76">
        <v>45625</v>
      </c>
      <c r="N42" s="20">
        <v>412670</v>
      </c>
      <c r="O42" s="21">
        <v>-10494</v>
      </c>
      <c r="P42" s="155">
        <v>0.95157999999999998</v>
      </c>
      <c r="Q42" s="76">
        <v>45811</v>
      </c>
    </row>
    <row r="43" spans="1:22" x14ac:dyDescent="0.2">
      <c r="A43" s="11" t="s">
        <v>19</v>
      </c>
      <c r="B43" s="20">
        <v>15182133</v>
      </c>
      <c r="C43" s="20">
        <v>519258</v>
      </c>
      <c r="D43" s="26">
        <v>45447</v>
      </c>
      <c r="E43" s="77">
        <v>45448</v>
      </c>
      <c r="F43" s="20">
        <v>14976004</v>
      </c>
      <c r="G43" s="20">
        <v>-206129</v>
      </c>
      <c r="H43" s="15">
        <v>45533</v>
      </c>
      <c r="I43" s="76">
        <v>45534</v>
      </c>
      <c r="J43" s="20">
        <v>15644657</v>
      </c>
      <c r="K43" s="20">
        <v>271936</v>
      </c>
      <c r="L43" s="26">
        <v>45624</v>
      </c>
      <c r="M43" s="76">
        <v>45624</v>
      </c>
      <c r="N43" s="20">
        <v>15457706</v>
      </c>
      <c r="O43" s="20">
        <v>-164447</v>
      </c>
      <c r="P43" s="154">
        <v>0.98947299999999994</v>
      </c>
      <c r="Q43" s="76">
        <v>45747</v>
      </c>
    </row>
    <row r="44" spans="1:22" x14ac:dyDescent="0.2">
      <c r="A44" s="13" t="s">
        <v>20</v>
      </c>
      <c r="B44" s="22">
        <v>694040</v>
      </c>
      <c r="C44" s="22">
        <v>23738</v>
      </c>
      <c r="D44" s="28">
        <v>45447</v>
      </c>
      <c r="E44" s="77">
        <v>45448</v>
      </c>
      <c r="F44" s="22">
        <v>684617</v>
      </c>
      <c r="G44" s="22">
        <v>-9423</v>
      </c>
      <c r="H44" s="17">
        <v>45533</v>
      </c>
      <c r="I44" s="76">
        <v>45534</v>
      </c>
      <c r="J44" s="22">
        <v>715185</v>
      </c>
      <c r="K44" s="22">
        <v>12432</v>
      </c>
      <c r="L44" s="28">
        <v>45624</v>
      </c>
      <c r="M44" s="76">
        <v>45624</v>
      </c>
      <c r="N44" s="22">
        <v>706638</v>
      </c>
      <c r="O44" s="22">
        <v>-7518</v>
      </c>
      <c r="P44" s="157">
        <v>0.98947299999999994</v>
      </c>
      <c r="Q44" s="76">
        <v>45747</v>
      </c>
    </row>
    <row r="45" spans="1:22" x14ac:dyDescent="0.2">
      <c r="A45" s="12" t="s">
        <v>21</v>
      </c>
      <c r="B45" s="21">
        <v>347021</v>
      </c>
      <c r="C45" s="21">
        <v>11869</v>
      </c>
      <c r="D45" s="27">
        <v>45447</v>
      </c>
      <c r="E45" s="77">
        <v>45448</v>
      </c>
      <c r="F45" s="21">
        <v>342309</v>
      </c>
      <c r="G45" s="21">
        <v>-4712</v>
      </c>
      <c r="H45" s="16">
        <v>45533</v>
      </c>
      <c r="I45" s="76">
        <v>45534</v>
      </c>
      <c r="J45" s="21">
        <v>357592</v>
      </c>
      <c r="K45" s="21">
        <v>6215</v>
      </c>
      <c r="L45" s="27">
        <v>45624</v>
      </c>
      <c r="M45" s="76">
        <v>45624</v>
      </c>
      <c r="N45" s="21">
        <v>353319</v>
      </c>
      <c r="O45" s="21">
        <v>-3759</v>
      </c>
      <c r="P45" s="155">
        <v>0.98947299999999994</v>
      </c>
      <c r="Q45" s="77">
        <v>45747</v>
      </c>
    </row>
    <row r="46" spans="1:22" x14ac:dyDescent="0.2">
      <c r="A46" s="48" t="s">
        <v>44</v>
      </c>
      <c r="B46" s="49">
        <v>5718210</v>
      </c>
      <c r="C46" s="49">
        <v>-87734</v>
      </c>
      <c r="D46" s="50">
        <v>45475</v>
      </c>
      <c r="E46" s="77">
        <v>45475</v>
      </c>
      <c r="F46" s="49">
        <v>5751715</v>
      </c>
      <c r="G46" s="49">
        <v>33505</v>
      </c>
      <c r="H46" s="50">
        <v>45562</v>
      </c>
      <c r="I46" s="77">
        <v>45562</v>
      </c>
      <c r="J46" s="49">
        <v>5557453</v>
      </c>
      <c r="K46" s="49">
        <v>93237</v>
      </c>
      <c r="L46" s="50">
        <v>45656</v>
      </c>
      <c r="M46" s="80">
        <v>45656</v>
      </c>
      <c r="N46" s="141">
        <v>5239270</v>
      </c>
      <c r="O46" s="49">
        <v>-149260</v>
      </c>
      <c r="P46" s="160">
        <v>0.97230000000000005</v>
      </c>
      <c r="Q46" s="80">
        <v>45835</v>
      </c>
    </row>
    <row r="47" spans="1:22" x14ac:dyDescent="0.2">
      <c r="A47" s="11" t="s">
        <v>36</v>
      </c>
      <c r="B47" s="20">
        <v>4755922</v>
      </c>
      <c r="C47" s="20">
        <v>-33768</v>
      </c>
      <c r="D47" s="28">
        <v>45475</v>
      </c>
      <c r="E47" s="77">
        <v>45475</v>
      </c>
      <c r="F47" s="20">
        <v>5014813</v>
      </c>
      <c r="G47" s="84">
        <v>-74726</v>
      </c>
      <c r="H47" s="26">
        <v>45561</v>
      </c>
      <c r="I47" s="77">
        <v>45562</v>
      </c>
      <c r="J47" s="20">
        <v>5123288</v>
      </c>
      <c r="K47" s="20">
        <v>108475</v>
      </c>
      <c r="L47" s="26">
        <v>45652</v>
      </c>
      <c r="M47" s="76">
        <v>45652</v>
      </c>
      <c r="N47" s="20">
        <v>4652669</v>
      </c>
      <c r="O47" s="20">
        <v>-208167</v>
      </c>
      <c r="P47" s="154">
        <v>0.95584599999999997</v>
      </c>
      <c r="Q47" s="76">
        <v>45835</v>
      </c>
      <c r="V47" s="116"/>
    </row>
    <row r="48" spans="1:22" x14ac:dyDescent="0.2">
      <c r="A48" s="54" t="s">
        <v>37</v>
      </c>
      <c r="B48" s="55">
        <v>2853553</v>
      </c>
      <c r="C48" s="55">
        <v>-20260</v>
      </c>
      <c r="D48" s="28">
        <v>45475</v>
      </c>
      <c r="E48" s="77">
        <v>45475</v>
      </c>
      <c r="F48" s="55">
        <v>3008887</v>
      </c>
      <c r="G48" s="85">
        <v>-44836</v>
      </c>
      <c r="H48" s="56">
        <v>45561</v>
      </c>
      <c r="I48" s="77">
        <v>45562</v>
      </c>
      <c r="J48" s="55">
        <v>3073972</v>
      </c>
      <c r="K48" s="55">
        <v>65085</v>
      </c>
      <c r="L48" s="56">
        <v>45652</v>
      </c>
      <c r="M48" s="76">
        <v>45652</v>
      </c>
      <c r="N48" s="20">
        <v>2791602</v>
      </c>
      <c r="O48" s="55">
        <v>-124899</v>
      </c>
      <c r="P48" s="161">
        <v>0.95584599999999997</v>
      </c>
      <c r="Q48" s="76">
        <v>45835</v>
      </c>
    </row>
    <row r="49" spans="1:18" x14ac:dyDescent="0.2">
      <c r="A49" s="54" t="s">
        <v>63</v>
      </c>
      <c r="B49" s="44">
        <v>1902373</v>
      </c>
      <c r="C49" s="44">
        <v>-13507</v>
      </c>
      <c r="D49" s="28">
        <v>45475</v>
      </c>
      <c r="E49" s="77">
        <v>45475</v>
      </c>
      <c r="F49" s="44">
        <v>2005928</v>
      </c>
      <c r="G49" s="85">
        <v>-29892</v>
      </c>
      <c r="H49" s="63">
        <v>45561</v>
      </c>
      <c r="I49" s="77">
        <v>45562</v>
      </c>
      <c r="J49" s="44">
        <v>2049319</v>
      </c>
      <c r="K49" s="44">
        <v>43391</v>
      </c>
      <c r="L49" s="45">
        <v>45652</v>
      </c>
      <c r="M49" s="76">
        <v>45652</v>
      </c>
      <c r="N49" s="20">
        <v>1861071</v>
      </c>
      <c r="O49" s="44">
        <v>-83267</v>
      </c>
      <c r="P49" s="162">
        <v>0.95584599999999997</v>
      </c>
      <c r="Q49" s="76">
        <v>45835</v>
      </c>
    </row>
    <row r="50" spans="1:18" x14ac:dyDescent="0.2">
      <c r="A50" s="54" t="s">
        <v>64</v>
      </c>
      <c r="B50" s="44">
        <v>475595</v>
      </c>
      <c r="C50" s="44">
        <v>-3375</v>
      </c>
      <c r="D50" s="28">
        <v>45475</v>
      </c>
      <c r="E50" s="77">
        <v>45482</v>
      </c>
      <c r="F50" s="44">
        <v>501485</v>
      </c>
      <c r="G50" s="85">
        <v>-7473</v>
      </c>
      <c r="H50" s="63">
        <v>45561</v>
      </c>
      <c r="I50" s="77">
        <v>45562</v>
      </c>
      <c r="J50" s="44">
        <v>512334</v>
      </c>
      <c r="K50" s="44">
        <v>10849</v>
      </c>
      <c r="L50" s="45">
        <v>45652</v>
      </c>
      <c r="M50" s="47"/>
      <c r="N50" s="20">
        <v>465271</v>
      </c>
      <c r="O50" s="44">
        <v>-20818</v>
      </c>
      <c r="P50" s="162">
        <v>0.95584599999999997</v>
      </c>
      <c r="Q50" s="76">
        <v>45835</v>
      </c>
    </row>
    <row r="51" spans="1:18" x14ac:dyDescent="0.2">
      <c r="A51" s="12" t="s">
        <v>65</v>
      </c>
      <c r="B51" s="21">
        <v>380474</v>
      </c>
      <c r="C51" s="21">
        <v>-2703</v>
      </c>
      <c r="D51" s="83">
        <v>45475</v>
      </c>
      <c r="E51" s="77">
        <v>45482</v>
      </c>
      <c r="F51" s="21">
        <v>401186</v>
      </c>
      <c r="G51" s="24">
        <v>-5978</v>
      </c>
      <c r="H51" s="64">
        <v>45561</v>
      </c>
      <c r="I51" s="77">
        <v>45562</v>
      </c>
      <c r="J51" s="21">
        <v>409864</v>
      </c>
      <c r="K51" s="21">
        <v>8678</v>
      </c>
      <c r="L51" s="27">
        <v>45652</v>
      </c>
      <c r="M51" s="5"/>
      <c r="N51" s="99">
        <v>372213</v>
      </c>
      <c r="O51" s="21">
        <v>-16654</v>
      </c>
      <c r="P51" s="155">
        <v>0.95584599999999997</v>
      </c>
      <c r="Q51" s="77">
        <v>45835</v>
      </c>
    </row>
    <row r="52" spans="1:18" ht="12.6" x14ac:dyDescent="0.2">
      <c r="A52" s="11" t="s">
        <v>22</v>
      </c>
      <c r="B52" s="20">
        <v>1550744</v>
      </c>
      <c r="C52" s="20">
        <v>-142168</v>
      </c>
      <c r="D52" s="26">
        <v>45427</v>
      </c>
      <c r="E52" s="76">
        <v>45428</v>
      </c>
      <c r="F52" s="20">
        <v>1517279</v>
      </c>
      <c r="G52" s="20">
        <v>-133408</v>
      </c>
      <c r="H52" s="15">
        <v>45519</v>
      </c>
      <c r="I52" s="76">
        <v>45519</v>
      </c>
      <c r="J52" s="20">
        <v>1564323</v>
      </c>
      <c r="K52" s="20">
        <v>-64892</v>
      </c>
      <c r="L52" s="26">
        <v>45610</v>
      </c>
      <c r="M52" s="76">
        <v>45611</v>
      </c>
      <c r="N52" s="107">
        <v>1584069</v>
      </c>
      <c r="O52" s="20">
        <v>-146826</v>
      </c>
      <c r="P52" s="154">
        <v>0.92289124999999994</v>
      </c>
      <c r="Q52" s="76">
        <v>45722</v>
      </c>
      <c r="R52" s="94"/>
    </row>
    <row r="53" spans="1:18" x14ac:dyDescent="0.2">
      <c r="A53" s="13" t="s">
        <v>23</v>
      </c>
      <c r="B53" s="22">
        <v>776258</v>
      </c>
      <c r="C53" s="22">
        <v>-71165</v>
      </c>
      <c r="D53" s="28">
        <v>45427</v>
      </c>
      <c r="E53" s="76">
        <v>45428</v>
      </c>
      <c r="F53" s="22">
        <v>759506</v>
      </c>
      <c r="G53" s="22">
        <v>-66781</v>
      </c>
      <c r="H53" s="15">
        <v>45519</v>
      </c>
      <c r="I53" s="76">
        <v>45519</v>
      </c>
      <c r="J53" s="22">
        <v>783055</v>
      </c>
      <c r="K53" s="22">
        <v>-32483</v>
      </c>
      <c r="L53" s="28">
        <v>45610</v>
      </c>
      <c r="M53" s="76">
        <v>45611</v>
      </c>
      <c r="N53" s="107">
        <v>792940</v>
      </c>
      <c r="O53" s="22">
        <v>-73496</v>
      </c>
      <c r="P53" s="157">
        <v>0.92289124999999994</v>
      </c>
      <c r="Q53" s="76">
        <v>45722</v>
      </c>
    </row>
    <row r="54" spans="1:18" x14ac:dyDescent="0.2">
      <c r="A54" s="13" t="s">
        <v>24</v>
      </c>
      <c r="B54" s="22">
        <v>1086407</v>
      </c>
      <c r="C54" s="22">
        <v>-99598</v>
      </c>
      <c r="D54" s="28">
        <v>45427</v>
      </c>
      <c r="E54" s="76">
        <v>45428</v>
      </c>
      <c r="F54" s="22">
        <v>1062962</v>
      </c>
      <c r="G54" s="22">
        <v>-93462</v>
      </c>
      <c r="H54" s="15">
        <v>45519</v>
      </c>
      <c r="I54" s="76">
        <v>45519</v>
      </c>
      <c r="J54" s="22">
        <v>1095920</v>
      </c>
      <c r="K54" s="22">
        <v>-45461</v>
      </c>
      <c r="L54" s="28">
        <v>45610</v>
      </c>
      <c r="M54" s="76">
        <v>45611</v>
      </c>
      <c r="N54" s="107">
        <v>1109753</v>
      </c>
      <c r="O54" s="22">
        <v>-102862</v>
      </c>
      <c r="P54" s="157">
        <v>0.92289124999999994</v>
      </c>
      <c r="Q54" s="76">
        <v>45722</v>
      </c>
    </row>
    <row r="55" spans="1:18" x14ac:dyDescent="0.2">
      <c r="A55" s="12" t="s">
        <v>25</v>
      </c>
      <c r="B55" s="21">
        <v>1240595</v>
      </c>
      <c r="C55" s="21">
        <v>-113734</v>
      </c>
      <c r="D55" s="27">
        <v>45427</v>
      </c>
      <c r="E55" s="76">
        <v>45428</v>
      </c>
      <c r="F55" s="21">
        <v>1213823</v>
      </c>
      <c r="G55" s="21">
        <v>-106726</v>
      </c>
      <c r="H55" s="15">
        <v>45519</v>
      </c>
      <c r="I55" s="76">
        <v>45519</v>
      </c>
      <c r="J55" s="21">
        <v>1251458</v>
      </c>
      <c r="K55" s="21">
        <v>-51914</v>
      </c>
      <c r="L55" s="27">
        <v>45610</v>
      </c>
      <c r="M55" s="76">
        <v>45611</v>
      </c>
      <c r="N55" s="111">
        <v>1267255</v>
      </c>
      <c r="O55" s="21">
        <v>-117460</v>
      </c>
      <c r="P55" s="155">
        <v>0.92289124999999994</v>
      </c>
      <c r="Q55" s="77">
        <v>45722</v>
      </c>
    </row>
    <row r="56" spans="1:18" x14ac:dyDescent="0.2">
      <c r="A56" s="11" t="s">
        <v>26</v>
      </c>
      <c r="B56" s="20">
        <v>2963811.41</v>
      </c>
      <c r="C56" s="20">
        <v>-88335.259999999776</v>
      </c>
      <c r="D56" s="26">
        <v>45434</v>
      </c>
      <c r="E56" s="76">
        <v>45436</v>
      </c>
      <c r="F56" s="20">
        <v>2405023.85</v>
      </c>
      <c r="G56" s="20">
        <v>10040.189999999944</v>
      </c>
      <c r="H56" s="26">
        <v>45532</v>
      </c>
      <c r="I56" s="76">
        <v>45533</v>
      </c>
      <c r="J56" s="20">
        <v>2156296.62</v>
      </c>
      <c r="K56" s="20">
        <v>-117548.7799999998</v>
      </c>
      <c r="L56" s="26">
        <v>45624</v>
      </c>
      <c r="M56" s="76">
        <v>45624</v>
      </c>
      <c r="N56" s="107">
        <v>2111739.0499999998</v>
      </c>
      <c r="O56" s="20">
        <v>-44557.570000000298</v>
      </c>
      <c r="P56" s="154">
        <v>0.9793357142857142</v>
      </c>
      <c r="Q56" s="76">
        <v>45719</v>
      </c>
    </row>
    <row r="57" spans="1:18" x14ac:dyDescent="0.2">
      <c r="A57" s="13" t="s">
        <v>27</v>
      </c>
      <c r="B57" s="22">
        <v>1620834.3</v>
      </c>
      <c r="C57" s="22">
        <v>-48308.260000000009</v>
      </c>
      <c r="D57" s="28">
        <v>45434</v>
      </c>
      <c r="E57" s="76">
        <v>45436</v>
      </c>
      <c r="F57" s="22">
        <v>1315247.3600000001</v>
      </c>
      <c r="G57" s="22">
        <v>5490.7399999999907</v>
      </c>
      <c r="H57" s="26">
        <v>45532</v>
      </c>
      <c r="I57" s="76">
        <v>45533</v>
      </c>
      <c r="J57" s="22">
        <v>1179224.48</v>
      </c>
      <c r="K57" s="22">
        <v>-64284.660000000149</v>
      </c>
      <c r="L57" s="28">
        <v>45624</v>
      </c>
      <c r="M57" s="76">
        <v>45624</v>
      </c>
      <c r="N57" s="107">
        <v>1154857.05</v>
      </c>
      <c r="O57" s="22">
        <v>-24367.429999999935</v>
      </c>
      <c r="P57" s="157">
        <v>0.9793357142857142</v>
      </c>
      <c r="Q57" s="76">
        <v>45719</v>
      </c>
    </row>
    <row r="58" spans="1:18" x14ac:dyDescent="0.2">
      <c r="A58" s="13" t="s">
        <v>28</v>
      </c>
      <c r="B58" s="22">
        <v>1157738.82</v>
      </c>
      <c r="C58" s="22">
        <v>-34505.899999999907</v>
      </c>
      <c r="D58" s="28">
        <v>45434</v>
      </c>
      <c r="E58" s="76">
        <v>45436</v>
      </c>
      <c r="F58" s="22">
        <v>939462.4</v>
      </c>
      <c r="G58" s="22">
        <v>3921.9299999999348</v>
      </c>
      <c r="H58" s="26">
        <v>45532</v>
      </c>
      <c r="I58" s="76">
        <v>45533</v>
      </c>
      <c r="J58" s="22">
        <v>842303.29</v>
      </c>
      <c r="K58" s="22">
        <v>-45917.540000000037</v>
      </c>
      <c r="L58" s="28">
        <v>45624</v>
      </c>
      <c r="M58" s="76">
        <v>45624</v>
      </c>
      <c r="N58" s="107">
        <v>824898</v>
      </c>
      <c r="O58" s="22">
        <v>-17405.290000000037</v>
      </c>
      <c r="P58" s="157">
        <v>0.9793357142857142</v>
      </c>
      <c r="Q58" s="76">
        <v>45719</v>
      </c>
    </row>
    <row r="59" spans="1:18" x14ac:dyDescent="0.2">
      <c r="A59" s="13" t="s">
        <v>29</v>
      </c>
      <c r="B59" s="22">
        <v>231547.8</v>
      </c>
      <c r="C59" s="22">
        <v>-6901.3000000000175</v>
      </c>
      <c r="D59" s="28">
        <v>45434</v>
      </c>
      <c r="E59" s="76">
        <v>45436</v>
      </c>
      <c r="F59" s="22">
        <v>187892.54</v>
      </c>
      <c r="G59" s="22">
        <v>784.41000000000349</v>
      </c>
      <c r="H59" s="26">
        <v>45532</v>
      </c>
      <c r="I59" s="76">
        <v>45533</v>
      </c>
      <c r="J59" s="22">
        <v>168460.82</v>
      </c>
      <c r="K59" s="22">
        <v>-9183.3999999999942</v>
      </c>
      <c r="L59" s="28">
        <v>45624</v>
      </c>
      <c r="M59" s="76">
        <v>45624</v>
      </c>
      <c r="N59" s="107">
        <v>164979.76</v>
      </c>
      <c r="O59" s="22">
        <v>-3481.0599999999977</v>
      </c>
      <c r="P59" s="157">
        <v>0.9793357142857142</v>
      </c>
      <c r="Q59" s="76">
        <v>45719</v>
      </c>
    </row>
    <row r="60" spans="1:18" x14ac:dyDescent="0.2">
      <c r="A60" s="13" t="s">
        <v>30</v>
      </c>
      <c r="B60" s="22">
        <v>231547.8</v>
      </c>
      <c r="C60" s="22">
        <v>-6901.3000000000175</v>
      </c>
      <c r="D60" s="28">
        <v>45434</v>
      </c>
      <c r="E60" s="76">
        <v>45436</v>
      </c>
      <c r="F60" s="22">
        <v>187892.54</v>
      </c>
      <c r="G60" s="22">
        <v>784.41000000000349</v>
      </c>
      <c r="H60" s="26">
        <v>45532</v>
      </c>
      <c r="I60" s="76">
        <v>45533</v>
      </c>
      <c r="J60" s="22">
        <v>168460.82</v>
      </c>
      <c r="K60" s="22">
        <v>-9183.3999999999942</v>
      </c>
      <c r="L60" s="28">
        <v>45624</v>
      </c>
      <c r="M60" s="76">
        <v>45624</v>
      </c>
      <c r="N60" s="107">
        <v>164979.76</v>
      </c>
      <c r="O60" s="22">
        <v>-3481.0599999999977</v>
      </c>
      <c r="P60" s="157">
        <v>0.9793357142857142</v>
      </c>
      <c r="Q60" s="76">
        <v>45719</v>
      </c>
    </row>
    <row r="61" spans="1:18" x14ac:dyDescent="0.2">
      <c r="A61" s="13" t="s">
        <v>31</v>
      </c>
      <c r="B61" s="22">
        <v>926191.07</v>
      </c>
      <c r="C61" s="22">
        <v>-27604.720000000088</v>
      </c>
      <c r="D61" s="28">
        <v>45434</v>
      </c>
      <c r="E61" s="76">
        <v>45436</v>
      </c>
      <c r="F61" s="22">
        <v>751569.95</v>
      </c>
      <c r="G61" s="22">
        <v>3137.5500000000466</v>
      </c>
      <c r="H61" s="26">
        <v>45532</v>
      </c>
      <c r="I61" s="76">
        <v>45533</v>
      </c>
      <c r="J61" s="22">
        <v>673842.62</v>
      </c>
      <c r="K61" s="22">
        <v>-36734.059999999939</v>
      </c>
      <c r="L61" s="28">
        <v>45624</v>
      </c>
      <c r="M61" s="76">
        <v>45624</v>
      </c>
      <c r="N61" s="107">
        <v>659918.36</v>
      </c>
      <c r="O61" s="22">
        <v>-13924.260000000009</v>
      </c>
      <c r="P61" s="157">
        <v>0.9793357142857142</v>
      </c>
      <c r="Q61" s="76">
        <v>45719</v>
      </c>
    </row>
    <row r="62" spans="1:18" x14ac:dyDescent="0.2">
      <c r="A62" s="12" t="s">
        <v>32</v>
      </c>
      <c r="B62" s="21">
        <v>416785.95</v>
      </c>
      <c r="C62" s="21">
        <v>-12422.169999999984</v>
      </c>
      <c r="D62" s="27">
        <v>45434</v>
      </c>
      <c r="E62" s="76">
        <v>45436</v>
      </c>
      <c r="F62" s="21">
        <v>338206.48</v>
      </c>
      <c r="G62" s="21">
        <v>1411.9399999999441</v>
      </c>
      <c r="H62" s="26">
        <v>45532</v>
      </c>
      <c r="I62" s="76">
        <v>45533</v>
      </c>
      <c r="J62" s="21">
        <v>303229.19</v>
      </c>
      <c r="K62" s="21">
        <v>-16530.320000000007</v>
      </c>
      <c r="L62" s="27">
        <v>45624</v>
      </c>
      <c r="M62" s="76">
        <v>45624</v>
      </c>
      <c r="N62" s="110">
        <v>296963.28000000003</v>
      </c>
      <c r="O62" s="21">
        <v>-6265.9099999999744</v>
      </c>
      <c r="P62" s="155">
        <v>0.9793357142857142</v>
      </c>
      <c r="Q62" s="77">
        <v>45719</v>
      </c>
    </row>
    <row r="63" spans="1:18" ht="15" customHeight="1" x14ac:dyDescent="0.2">
      <c r="A63" s="150" t="s">
        <v>33</v>
      </c>
      <c r="B63" s="20">
        <v>6455111.1399999997</v>
      </c>
      <c r="C63" s="22">
        <v>-229930.70000000019</v>
      </c>
      <c r="D63" s="29">
        <v>45398</v>
      </c>
      <c r="E63" s="76">
        <v>45399</v>
      </c>
      <c r="F63" s="20">
        <v>0</v>
      </c>
      <c r="G63" s="20">
        <v>-45799.469999999739</v>
      </c>
      <c r="H63" s="15">
        <v>45490</v>
      </c>
      <c r="I63" s="76">
        <v>45491</v>
      </c>
      <c r="J63" s="234" t="s">
        <v>130</v>
      </c>
      <c r="K63" s="235"/>
      <c r="L63" s="235"/>
      <c r="M63" s="236"/>
      <c r="N63" s="234" t="s">
        <v>130</v>
      </c>
      <c r="O63" s="235"/>
      <c r="P63" s="235"/>
      <c r="Q63" s="236"/>
    </row>
    <row r="64" spans="1:18" ht="15" customHeight="1" x14ac:dyDescent="0.2">
      <c r="A64" s="151" t="s">
        <v>34</v>
      </c>
      <c r="B64" s="22">
        <v>1075851.93</v>
      </c>
      <c r="C64" s="22">
        <v>-38321.760000000009</v>
      </c>
      <c r="D64" s="26">
        <v>45398</v>
      </c>
      <c r="E64" s="76">
        <v>45399</v>
      </c>
      <c r="F64" s="22">
        <v>0</v>
      </c>
      <c r="G64" s="22">
        <v>-7633.2600000000093</v>
      </c>
      <c r="H64" s="17">
        <v>45490</v>
      </c>
      <c r="I64" s="76">
        <v>45491</v>
      </c>
      <c r="J64" s="234"/>
      <c r="K64" s="235"/>
      <c r="L64" s="235"/>
      <c r="M64" s="236"/>
      <c r="N64" s="234"/>
      <c r="O64" s="235"/>
      <c r="P64" s="235"/>
      <c r="Q64" s="236"/>
    </row>
    <row r="65" spans="1:21" ht="15" customHeight="1" x14ac:dyDescent="0.2">
      <c r="A65" s="152" t="s">
        <v>35</v>
      </c>
      <c r="B65" s="21">
        <v>1075851.93</v>
      </c>
      <c r="C65" s="21">
        <v>-38321.760000000009</v>
      </c>
      <c r="D65" s="30">
        <v>45398</v>
      </c>
      <c r="E65" s="76">
        <v>45399</v>
      </c>
      <c r="F65" s="21">
        <v>0</v>
      </c>
      <c r="G65" s="21">
        <v>-7633.2600000000093</v>
      </c>
      <c r="H65" s="16">
        <v>45490</v>
      </c>
      <c r="I65" s="77">
        <v>45491</v>
      </c>
      <c r="J65" s="234"/>
      <c r="K65" s="235"/>
      <c r="L65" s="235"/>
      <c r="M65" s="236"/>
      <c r="N65" s="234"/>
      <c r="O65" s="235"/>
      <c r="P65" s="235"/>
      <c r="Q65" s="236"/>
    </row>
    <row r="66" spans="1:21" x14ac:dyDescent="0.2">
      <c r="A66" s="11" t="s">
        <v>45</v>
      </c>
      <c r="B66" s="20">
        <v>932936</v>
      </c>
      <c r="C66" s="20">
        <v>29275</v>
      </c>
      <c r="D66" s="26">
        <v>45448</v>
      </c>
      <c r="E66" s="77">
        <v>45449</v>
      </c>
      <c r="F66" s="20">
        <v>749543</v>
      </c>
      <c r="G66" s="20">
        <v>41024</v>
      </c>
      <c r="H66" s="15">
        <v>45534</v>
      </c>
      <c r="I66" s="76">
        <v>45534</v>
      </c>
      <c r="J66" s="20">
        <v>675411</v>
      </c>
      <c r="K66" s="20">
        <v>14477</v>
      </c>
      <c r="L66" s="26">
        <v>45623</v>
      </c>
      <c r="M66" s="76">
        <v>45624</v>
      </c>
      <c r="N66" s="107">
        <v>698012</v>
      </c>
      <c r="O66" s="20">
        <v>28115</v>
      </c>
      <c r="P66" s="154">
        <v>1.0452283333333332</v>
      </c>
      <c r="Q66" s="76">
        <v>45747</v>
      </c>
    </row>
    <row r="67" spans="1:21" x14ac:dyDescent="0.2">
      <c r="A67" s="13" t="s">
        <v>46</v>
      </c>
      <c r="B67" s="22">
        <v>466461</v>
      </c>
      <c r="C67" s="22">
        <v>14639</v>
      </c>
      <c r="D67" s="28">
        <v>45448</v>
      </c>
      <c r="E67" s="77">
        <v>45449</v>
      </c>
      <c r="F67" s="22">
        <v>374761</v>
      </c>
      <c r="G67" s="22">
        <v>20511</v>
      </c>
      <c r="H67" s="17">
        <v>45534</v>
      </c>
      <c r="I67" s="76">
        <v>45534</v>
      </c>
      <c r="J67" s="22">
        <v>337696</v>
      </c>
      <c r="K67" s="22">
        <v>7240</v>
      </c>
      <c r="L67" s="17">
        <v>45623</v>
      </c>
      <c r="M67" s="76">
        <v>45624</v>
      </c>
      <c r="N67" s="107">
        <v>348997</v>
      </c>
      <c r="O67" s="22">
        <v>14057</v>
      </c>
      <c r="P67" s="157">
        <v>1.0452283333333332</v>
      </c>
      <c r="Q67" s="76">
        <v>45747</v>
      </c>
    </row>
    <row r="68" spans="1:21" x14ac:dyDescent="0.2">
      <c r="A68" s="13" t="s">
        <v>47</v>
      </c>
      <c r="B68" s="22">
        <v>1865870</v>
      </c>
      <c r="C68" s="22">
        <v>58554</v>
      </c>
      <c r="D68" s="28">
        <v>45448</v>
      </c>
      <c r="E68" s="77">
        <v>45449</v>
      </c>
      <c r="F68" s="22">
        <v>1499080</v>
      </c>
      <c r="G68" s="22">
        <v>82046</v>
      </c>
      <c r="H68" s="17">
        <v>45534</v>
      </c>
      <c r="I68" s="76">
        <v>45534</v>
      </c>
      <c r="J68" s="22">
        <v>1350820</v>
      </c>
      <c r="K68" s="22">
        <v>28955</v>
      </c>
      <c r="L68" s="17">
        <v>45623</v>
      </c>
      <c r="M68" s="76">
        <v>45624</v>
      </c>
      <c r="N68" s="107">
        <v>1396023</v>
      </c>
      <c r="O68" s="22">
        <v>56230</v>
      </c>
      <c r="P68" s="157">
        <v>1.0452283333333332</v>
      </c>
      <c r="Q68" s="76">
        <v>45747</v>
      </c>
    </row>
    <row r="69" spans="1:21" x14ac:dyDescent="0.2">
      <c r="A69" s="13" t="s">
        <v>48</v>
      </c>
      <c r="B69" s="22">
        <v>1399396</v>
      </c>
      <c r="C69" s="22">
        <v>43915</v>
      </c>
      <c r="D69" s="28">
        <v>45448</v>
      </c>
      <c r="E69" s="77">
        <v>45449</v>
      </c>
      <c r="F69" s="22">
        <v>1124300</v>
      </c>
      <c r="G69" s="22">
        <v>61535</v>
      </c>
      <c r="H69" s="17">
        <v>45534</v>
      </c>
      <c r="I69" s="76">
        <v>45534</v>
      </c>
      <c r="J69" s="22">
        <v>1013106</v>
      </c>
      <c r="K69" s="22">
        <v>21717</v>
      </c>
      <c r="L69" s="17">
        <v>45623</v>
      </c>
      <c r="M69" s="76">
        <v>45624</v>
      </c>
      <c r="N69" s="107">
        <v>1047008</v>
      </c>
      <c r="O69" s="22">
        <v>42171</v>
      </c>
      <c r="P69" s="157">
        <v>1.0452283333333332</v>
      </c>
      <c r="Q69" s="76">
        <v>45747</v>
      </c>
    </row>
    <row r="70" spans="1:21" x14ac:dyDescent="0.2">
      <c r="A70" s="13" t="s">
        <v>49</v>
      </c>
      <c r="B70" s="22">
        <v>349854</v>
      </c>
      <c r="C70" s="22">
        <v>10979</v>
      </c>
      <c r="D70" s="28">
        <v>45448</v>
      </c>
      <c r="E70" s="77">
        <v>45449</v>
      </c>
      <c r="F70" s="22">
        <v>281080</v>
      </c>
      <c r="G70" s="22">
        <v>15383</v>
      </c>
      <c r="H70" s="17">
        <v>45534</v>
      </c>
      <c r="I70" s="76">
        <v>45534</v>
      </c>
      <c r="J70" s="22">
        <v>253283</v>
      </c>
      <c r="K70" s="22">
        <v>5430</v>
      </c>
      <c r="L70" s="17">
        <v>45623</v>
      </c>
      <c r="M70" s="76">
        <v>45624</v>
      </c>
      <c r="N70" s="107">
        <v>261757</v>
      </c>
      <c r="O70" s="22">
        <v>10542</v>
      </c>
      <c r="P70" s="157">
        <v>1.0452283333333332</v>
      </c>
      <c r="Q70" s="76">
        <v>45747</v>
      </c>
    </row>
    <row r="71" spans="1:21" x14ac:dyDescent="0.2">
      <c r="A71" s="12" t="s">
        <v>50</v>
      </c>
      <c r="B71" s="21">
        <v>466461</v>
      </c>
      <c r="C71" s="21">
        <v>14639</v>
      </c>
      <c r="D71" s="27">
        <v>45448</v>
      </c>
      <c r="E71" s="77">
        <v>45449</v>
      </c>
      <c r="F71" s="21">
        <v>374761</v>
      </c>
      <c r="G71" s="21">
        <v>20511</v>
      </c>
      <c r="H71" s="16">
        <v>45534</v>
      </c>
      <c r="I71" s="76">
        <v>45534</v>
      </c>
      <c r="J71" s="21">
        <v>337696</v>
      </c>
      <c r="K71" s="21">
        <v>7240</v>
      </c>
      <c r="L71" s="16">
        <v>45623</v>
      </c>
      <c r="M71" s="76">
        <v>45624</v>
      </c>
      <c r="N71" s="110">
        <v>348997</v>
      </c>
      <c r="O71" s="21">
        <v>14057</v>
      </c>
      <c r="P71" s="155">
        <v>1.0452283333333332</v>
      </c>
      <c r="Q71" s="77">
        <v>45747</v>
      </c>
    </row>
    <row r="72" spans="1:21" x14ac:dyDescent="0.2">
      <c r="A72" s="11" t="s">
        <v>62</v>
      </c>
      <c r="B72" s="20">
        <v>377860</v>
      </c>
      <c r="C72" s="20">
        <v>6361</v>
      </c>
      <c r="D72" s="26">
        <v>45448</v>
      </c>
      <c r="E72" s="77">
        <v>45449</v>
      </c>
      <c r="F72" s="20">
        <v>317400</v>
      </c>
      <c r="G72" s="20">
        <v>5006</v>
      </c>
      <c r="H72" s="15">
        <v>45533</v>
      </c>
      <c r="I72" s="76">
        <v>45534</v>
      </c>
      <c r="J72" s="20">
        <v>315671</v>
      </c>
      <c r="K72" s="20">
        <v>9168</v>
      </c>
      <c r="L72" s="15">
        <v>45622</v>
      </c>
      <c r="M72" s="76">
        <v>45624</v>
      </c>
      <c r="N72" s="107">
        <v>290198</v>
      </c>
      <c r="O72" s="20">
        <v>479</v>
      </c>
      <c r="P72" s="154">
        <v>1.0018880000000001</v>
      </c>
      <c r="Q72" s="76">
        <v>45747</v>
      </c>
    </row>
    <row r="73" spans="1:21" x14ac:dyDescent="0.2">
      <c r="A73" s="13" t="s">
        <v>51</v>
      </c>
      <c r="B73" s="22">
        <v>2267185</v>
      </c>
      <c r="C73" s="22">
        <v>38169</v>
      </c>
      <c r="D73" s="28">
        <v>45448</v>
      </c>
      <c r="E73" s="77">
        <v>45449</v>
      </c>
      <c r="F73" s="22">
        <v>1904434</v>
      </c>
      <c r="G73" s="22">
        <v>30027</v>
      </c>
      <c r="H73" s="17">
        <v>45533</v>
      </c>
      <c r="I73" s="76">
        <v>45534</v>
      </c>
      <c r="J73" s="22">
        <v>1894053</v>
      </c>
      <c r="K73" s="22">
        <v>55007</v>
      </c>
      <c r="L73" s="17">
        <v>45622</v>
      </c>
      <c r="M73" s="76">
        <v>45624</v>
      </c>
      <c r="N73" s="113">
        <v>1741215</v>
      </c>
      <c r="O73" s="22">
        <v>2879</v>
      </c>
      <c r="P73" s="157">
        <v>1.0018880000000001</v>
      </c>
      <c r="Q73" s="76">
        <v>45747</v>
      </c>
    </row>
    <row r="74" spans="1:21" x14ac:dyDescent="0.2">
      <c r="A74" s="13" t="s">
        <v>52</v>
      </c>
      <c r="B74" s="22">
        <v>377860</v>
      </c>
      <c r="C74" s="22">
        <v>6361</v>
      </c>
      <c r="D74" s="28">
        <v>45448</v>
      </c>
      <c r="E74" s="77">
        <v>45449</v>
      </c>
      <c r="F74" s="22">
        <v>317400</v>
      </c>
      <c r="G74" s="22">
        <v>5006</v>
      </c>
      <c r="H74" s="17">
        <v>45533</v>
      </c>
      <c r="I74" s="76">
        <v>45534</v>
      </c>
      <c r="J74" s="22">
        <v>315671</v>
      </c>
      <c r="K74" s="22">
        <v>9168</v>
      </c>
      <c r="L74" s="17">
        <v>45622</v>
      </c>
      <c r="M74" s="76">
        <v>45624</v>
      </c>
      <c r="N74" s="107">
        <v>290198</v>
      </c>
      <c r="O74" s="22">
        <v>479</v>
      </c>
      <c r="P74" s="157">
        <v>1.0018880000000001</v>
      </c>
      <c r="Q74" s="76">
        <v>45747</v>
      </c>
    </row>
    <row r="75" spans="1:21" x14ac:dyDescent="0.2">
      <c r="A75" s="12" t="s">
        <v>53</v>
      </c>
      <c r="B75" s="21">
        <v>755714</v>
      </c>
      <c r="C75" s="24">
        <v>12722</v>
      </c>
      <c r="D75" s="27">
        <v>45448</v>
      </c>
      <c r="E75" s="77">
        <v>45449</v>
      </c>
      <c r="F75" s="21">
        <v>634797</v>
      </c>
      <c r="G75" s="24">
        <v>10009</v>
      </c>
      <c r="H75" s="16">
        <v>45533</v>
      </c>
      <c r="I75" s="76">
        <v>45534</v>
      </c>
      <c r="J75" s="24">
        <v>631339</v>
      </c>
      <c r="K75" s="24">
        <v>18335</v>
      </c>
      <c r="L75" s="16">
        <v>45622</v>
      </c>
      <c r="M75" s="76">
        <v>45624</v>
      </c>
      <c r="N75" s="111">
        <v>580391</v>
      </c>
      <c r="O75" s="24">
        <v>960</v>
      </c>
      <c r="P75" s="159">
        <v>1.0018880000000001</v>
      </c>
      <c r="Q75" s="77">
        <v>45747</v>
      </c>
    </row>
    <row r="76" spans="1:21" x14ac:dyDescent="0.2">
      <c r="A76" s="11" t="s">
        <v>104</v>
      </c>
      <c r="B76" s="20">
        <v>3499318</v>
      </c>
      <c r="C76" s="22">
        <v>-3644</v>
      </c>
      <c r="D76" s="26">
        <v>45492</v>
      </c>
      <c r="E76" s="77">
        <v>45495</v>
      </c>
      <c r="F76" s="20">
        <v>4324271</v>
      </c>
      <c r="G76" s="22">
        <v>44887</v>
      </c>
      <c r="H76" s="26">
        <v>45569</v>
      </c>
      <c r="I76" s="76"/>
      <c r="J76" s="20">
        <v>4592148</v>
      </c>
      <c r="K76" s="20">
        <v>95936</v>
      </c>
      <c r="L76" s="26">
        <v>45652</v>
      </c>
      <c r="M76" s="4"/>
      <c r="N76" s="107">
        <v>5051198</v>
      </c>
      <c r="O76" s="22">
        <v>127094</v>
      </c>
      <c r="P76" s="154">
        <v>1.0239940000000001</v>
      </c>
      <c r="Q76" s="76">
        <v>45859</v>
      </c>
      <c r="S76" s="2"/>
      <c r="T76" s="23"/>
      <c r="U76" s="2"/>
    </row>
    <row r="77" spans="1:21" x14ac:dyDescent="0.2">
      <c r="A77" s="11" t="s">
        <v>105</v>
      </c>
      <c r="B77" s="20">
        <v>3230139</v>
      </c>
      <c r="C77" s="22">
        <v>-3363</v>
      </c>
      <c r="D77" s="28">
        <v>45492</v>
      </c>
      <c r="E77" s="77">
        <v>45495</v>
      </c>
      <c r="F77" s="20">
        <v>3991634</v>
      </c>
      <c r="G77" s="22">
        <v>41434</v>
      </c>
      <c r="H77" s="28">
        <v>45569</v>
      </c>
      <c r="I77" s="76">
        <v>45572</v>
      </c>
      <c r="J77" s="22">
        <v>4238905</v>
      </c>
      <c r="K77" s="22">
        <v>88556</v>
      </c>
      <c r="L77" s="28">
        <v>45652</v>
      </c>
      <c r="M77" s="76">
        <v>45653</v>
      </c>
      <c r="N77" s="107">
        <v>4662643</v>
      </c>
      <c r="O77" s="22">
        <v>117318</v>
      </c>
      <c r="P77" s="157">
        <v>1.0239940000000001</v>
      </c>
      <c r="Q77" s="76">
        <v>45859</v>
      </c>
      <c r="S77" s="2"/>
      <c r="T77" s="23"/>
      <c r="U77" s="2"/>
    </row>
    <row r="78" spans="1:21" x14ac:dyDescent="0.2">
      <c r="A78" s="11" t="s">
        <v>106</v>
      </c>
      <c r="B78" s="20">
        <v>19380832</v>
      </c>
      <c r="C78" s="22">
        <v>-20180</v>
      </c>
      <c r="D78" s="28">
        <v>45492</v>
      </c>
      <c r="E78" s="77">
        <v>45495</v>
      </c>
      <c r="F78" s="20">
        <v>23949799</v>
      </c>
      <c r="G78" s="22">
        <v>248599</v>
      </c>
      <c r="H78" s="28">
        <v>45569</v>
      </c>
      <c r="I78" s="76">
        <v>45572</v>
      </c>
      <c r="J78" s="22">
        <v>25433431</v>
      </c>
      <c r="K78" s="22">
        <v>531343</v>
      </c>
      <c r="L78" s="28">
        <v>45652</v>
      </c>
      <c r="M78" s="76">
        <v>45653</v>
      </c>
      <c r="N78" s="107">
        <v>27975863</v>
      </c>
      <c r="O78" s="22">
        <v>703903</v>
      </c>
      <c r="P78" s="157">
        <v>1.0239940000000001</v>
      </c>
      <c r="Q78" s="76">
        <v>45859</v>
      </c>
      <c r="S78" s="2"/>
      <c r="T78" s="23"/>
      <c r="U78" s="2"/>
    </row>
    <row r="79" spans="1:21" x14ac:dyDescent="0.2">
      <c r="A79" s="11" t="s">
        <v>108</v>
      </c>
      <c r="B79" s="20">
        <v>7429320</v>
      </c>
      <c r="C79" s="22">
        <v>-7734</v>
      </c>
      <c r="D79" s="28">
        <v>45492</v>
      </c>
      <c r="E79" s="77">
        <v>45495</v>
      </c>
      <c r="F79" s="20">
        <v>9180756</v>
      </c>
      <c r="G79" s="22">
        <v>95296</v>
      </c>
      <c r="H79" s="28">
        <v>45569</v>
      </c>
      <c r="I79" s="76">
        <v>45572</v>
      </c>
      <c r="J79" s="22">
        <v>9749482</v>
      </c>
      <c r="K79" s="22">
        <v>203682</v>
      </c>
      <c r="L79" s="28">
        <v>45652</v>
      </c>
      <c r="M79" s="76">
        <v>45653</v>
      </c>
      <c r="N79" s="107">
        <v>10724081</v>
      </c>
      <c r="O79" s="22">
        <v>269829</v>
      </c>
      <c r="P79" s="157">
        <v>1.0239940000000001</v>
      </c>
      <c r="Q79" s="76">
        <v>45859</v>
      </c>
      <c r="S79" s="2"/>
      <c r="T79" s="23"/>
      <c r="U79" s="2"/>
    </row>
    <row r="80" spans="1:21" x14ac:dyDescent="0.2">
      <c r="A80" s="11" t="s">
        <v>109</v>
      </c>
      <c r="B80" s="20">
        <v>2960962</v>
      </c>
      <c r="C80" s="22">
        <v>-3083</v>
      </c>
      <c r="D80" s="28">
        <v>45492</v>
      </c>
      <c r="E80" s="77">
        <v>45495</v>
      </c>
      <c r="F80" s="20">
        <v>3658999</v>
      </c>
      <c r="G80" s="22">
        <v>37981</v>
      </c>
      <c r="H80" s="28">
        <v>45569</v>
      </c>
      <c r="I80" s="76">
        <v>45572</v>
      </c>
      <c r="J80" s="22">
        <v>3885663</v>
      </c>
      <c r="K80" s="22">
        <v>81176</v>
      </c>
      <c r="L80" s="28">
        <v>45652</v>
      </c>
      <c r="M80" s="76">
        <v>45653</v>
      </c>
      <c r="N80" s="107">
        <v>4274091</v>
      </c>
      <c r="O80" s="22">
        <v>107541</v>
      </c>
      <c r="P80" s="157">
        <v>1.0239940000000001</v>
      </c>
      <c r="Q80" s="76">
        <v>45859</v>
      </c>
      <c r="S80" s="2"/>
      <c r="T80" s="23"/>
      <c r="U80" s="2"/>
    </row>
    <row r="81" spans="1:21" x14ac:dyDescent="0.2">
      <c r="A81" s="11" t="s">
        <v>110</v>
      </c>
      <c r="B81" s="20">
        <v>1184383</v>
      </c>
      <c r="C81" s="22">
        <v>-1234</v>
      </c>
      <c r="D81" s="28">
        <v>45492</v>
      </c>
      <c r="E81" s="77">
        <v>45495</v>
      </c>
      <c r="F81" s="20">
        <v>1463597</v>
      </c>
      <c r="G81" s="22">
        <v>15191</v>
      </c>
      <c r="H81" s="28">
        <v>45569</v>
      </c>
      <c r="I81" s="76">
        <v>45572</v>
      </c>
      <c r="J81" s="22">
        <v>1554264</v>
      </c>
      <c r="K81" s="22">
        <v>32472</v>
      </c>
      <c r="L81" s="28">
        <v>45652</v>
      </c>
      <c r="M81" s="76">
        <v>45653</v>
      </c>
      <c r="N81" s="107">
        <v>1709635</v>
      </c>
      <c r="O81" s="22">
        <v>43016</v>
      </c>
      <c r="P81" s="157">
        <v>1.0239940000000001</v>
      </c>
      <c r="Q81" s="76">
        <v>45859</v>
      </c>
      <c r="S81" s="2"/>
      <c r="T81" s="23"/>
      <c r="U81" s="2"/>
    </row>
    <row r="82" spans="1:21" x14ac:dyDescent="0.2">
      <c r="A82" s="11" t="s">
        <v>111</v>
      </c>
      <c r="B82" s="20">
        <v>161509</v>
      </c>
      <c r="C82" s="22">
        <v>-168</v>
      </c>
      <c r="D82" s="28">
        <v>45492</v>
      </c>
      <c r="E82" s="77">
        <v>45495</v>
      </c>
      <c r="F82" s="20">
        <v>199584</v>
      </c>
      <c r="G82" s="22">
        <v>2071</v>
      </c>
      <c r="H82" s="28">
        <v>45569</v>
      </c>
      <c r="I82" s="76">
        <v>45572</v>
      </c>
      <c r="J82" s="22">
        <v>211947</v>
      </c>
      <c r="K82" s="22">
        <v>4427</v>
      </c>
      <c r="L82" s="28">
        <v>45652</v>
      </c>
      <c r="M82" s="76">
        <v>45653</v>
      </c>
      <c r="N82" s="107">
        <v>233135</v>
      </c>
      <c r="O82" s="22">
        <v>5867</v>
      </c>
      <c r="P82" s="157">
        <v>1.0239940000000001</v>
      </c>
      <c r="Q82" s="76">
        <v>45859</v>
      </c>
      <c r="S82" s="2"/>
      <c r="T82" s="23"/>
      <c r="U82" s="2"/>
    </row>
    <row r="83" spans="1:21" x14ac:dyDescent="0.2">
      <c r="A83" s="11" t="s">
        <v>112</v>
      </c>
      <c r="B83" s="20">
        <v>376851</v>
      </c>
      <c r="C83" s="22">
        <v>-393</v>
      </c>
      <c r="D83" s="28">
        <v>45492</v>
      </c>
      <c r="E83" s="77">
        <v>45495</v>
      </c>
      <c r="F83" s="20">
        <v>465692</v>
      </c>
      <c r="G83" s="22">
        <v>4834</v>
      </c>
      <c r="H83" s="28">
        <v>45569</v>
      </c>
      <c r="I83" s="76">
        <v>45572</v>
      </c>
      <c r="J83" s="22">
        <v>494540</v>
      </c>
      <c r="K83" s="22">
        <v>10331</v>
      </c>
      <c r="L83" s="28">
        <v>45652</v>
      </c>
      <c r="M83" s="76">
        <v>45653</v>
      </c>
      <c r="N83" s="107">
        <v>543976</v>
      </c>
      <c r="O83" s="22">
        <v>13687</v>
      </c>
      <c r="P83" s="157">
        <v>1.0239940000000001</v>
      </c>
      <c r="Q83" s="76">
        <v>45859</v>
      </c>
      <c r="S83" s="2"/>
      <c r="T83" s="23"/>
      <c r="U83" s="2"/>
    </row>
    <row r="84" spans="1:21" x14ac:dyDescent="0.2">
      <c r="A84" s="67" t="s">
        <v>107</v>
      </c>
      <c r="B84" s="72">
        <v>56229376</v>
      </c>
      <c r="C84" s="21">
        <v>-58298</v>
      </c>
      <c r="D84" s="27">
        <v>45492</v>
      </c>
      <c r="E84" s="77">
        <v>45495</v>
      </c>
      <c r="F84" s="72">
        <v>69428616</v>
      </c>
      <c r="G84" s="21">
        <v>718179</v>
      </c>
      <c r="H84" s="27">
        <v>45569</v>
      </c>
      <c r="I84" s="101">
        <v>45572</v>
      </c>
      <c r="J84" s="21">
        <v>73714660</v>
      </c>
      <c r="K84" s="21">
        <v>1534989</v>
      </c>
      <c r="L84" s="27">
        <v>45652</v>
      </c>
      <c r="M84" s="101">
        <v>45653</v>
      </c>
      <c r="N84" s="111">
        <v>81059465</v>
      </c>
      <c r="O84" s="24">
        <v>2033498</v>
      </c>
      <c r="P84" s="174">
        <v>1.0239259999999999</v>
      </c>
      <c r="Q84" s="101">
        <v>45859</v>
      </c>
      <c r="S84" s="2"/>
      <c r="T84" s="23"/>
      <c r="U84" s="2"/>
    </row>
    <row r="85" spans="1:21" x14ac:dyDescent="0.2">
      <c r="A85" s="11" t="s">
        <v>113</v>
      </c>
      <c r="B85" s="20">
        <v>14429951</v>
      </c>
      <c r="C85" s="20">
        <v>936740</v>
      </c>
      <c r="D85" s="26">
        <v>45492</v>
      </c>
      <c r="E85" s="101">
        <v>45495</v>
      </c>
      <c r="F85" s="20">
        <v>14476629</v>
      </c>
      <c r="G85" s="20">
        <v>-328806</v>
      </c>
      <c r="H85" s="26">
        <v>45569</v>
      </c>
      <c r="I85" s="76">
        <v>45572</v>
      </c>
      <c r="J85" s="91">
        <v>12389714</v>
      </c>
      <c r="K85" s="91">
        <v>839715</v>
      </c>
      <c r="L85" s="26">
        <v>45652</v>
      </c>
      <c r="M85" s="76">
        <v>45653</v>
      </c>
      <c r="N85" s="107">
        <v>11034293</v>
      </c>
      <c r="O85" s="167">
        <v>-1355421</v>
      </c>
      <c r="P85" s="168">
        <v>0.87638174999999996</v>
      </c>
      <c r="Q85" s="76">
        <v>45835</v>
      </c>
      <c r="S85" s="2"/>
      <c r="T85" s="23"/>
      <c r="U85" s="2"/>
    </row>
    <row r="86" spans="1:21" x14ac:dyDescent="0.2">
      <c r="A86" s="11" t="s">
        <v>114</v>
      </c>
      <c r="B86" s="20">
        <v>9309643</v>
      </c>
      <c r="C86" s="22">
        <v>604348</v>
      </c>
      <c r="D86" s="28">
        <v>45492</v>
      </c>
      <c r="E86" s="77">
        <v>45495</v>
      </c>
      <c r="F86" s="20">
        <v>9339758</v>
      </c>
      <c r="G86" s="22">
        <v>-212132</v>
      </c>
      <c r="H86" s="28">
        <v>45569</v>
      </c>
      <c r="I86" s="76">
        <v>45572</v>
      </c>
      <c r="J86" s="92">
        <v>7993357</v>
      </c>
      <c r="K86" s="92">
        <v>541752</v>
      </c>
      <c r="L86" s="28">
        <v>45652</v>
      </c>
      <c r="M86" s="76">
        <v>45653</v>
      </c>
      <c r="N86" s="107">
        <v>7118891</v>
      </c>
      <c r="O86" s="169">
        <v>-874466</v>
      </c>
      <c r="P86" s="170">
        <v>0.87638174999999996</v>
      </c>
      <c r="Q86" s="76">
        <v>45835</v>
      </c>
      <c r="S86" s="2"/>
      <c r="T86" s="23"/>
      <c r="U86" s="2"/>
    </row>
    <row r="87" spans="1:21" x14ac:dyDescent="0.2">
      <c r="A87" s="11" t="s">
        <v>115</v>
      </c>
      <c r="B87" s="20">
        <v>4654820</v>
      </c>
      <c r="C87" s="22">
        <v>302174</v>
      </c>
      <c r="D87" s="28">
        <v>45492</v>
      </c>
      <c r="E87" s="77">
        <v>45495</v>
      </c>
      <c r="F87" s="20">
        <v>4669877</v>
      </c>
      <c r="G87" s="22">
        <v>-106066</v>
      </c>
      <c r="H87" s="28">
        <v>45569</v>
      </c>
      <c r="I87" s="76">
        <v>45572</v>
      </c>
      <c r="J87" s="92">
        <v>3996674</v>
      </c>
      <c r="K87" s="92">
        <v>270875</v>
      </c>
      <c r="L87" s="28">
        <v>45652</v>
      </c>
      <c r="M87" s="76">
        <v>45653</v>
      </c>
      <c r="N87" s="107">
        <v>3559442</v>
      </c>
      <c r="O87" s="169">
        <v>-437232</v>
      </c>
      <c r="P87" s="170">
        <v>0.87638174999999996</v>
      </c>
      <c r="Q87" s="76">
        <v>45835</v>
      </c>
      <c r="S87" s="2"/>
      <c r="T87" s="23"/>
      <c r="U87" s="2"/>
    </row>
    <row r="88" spans="1:21" x14ac:dyDescent="0.2">
      <c r="A88" s="12" t="s">
        <v>116</v>
      </c>
      <c r="B88" s="72">
        <v>465481</v>
      </c>
      <c r="C88" s="21">
        <v>30218</v>
      </c>
      <c r="D88" s="27">
        <v>45492</v>
      </c>
      <c r="E88" s="77">
        <v>45495</v>
      </c>
      <c r="F88" s="72">
        <v>466986</v>
      </c>
      <c r="G88" s="21">
        <v>-10607</v>
      </c>
      <c r="H88" s="27">
        <v>45569</v>
      </c>
      <c r="I88" s="101">
        <v>45572</v>
      </c>
      <c r="J88" s="93">
        <v>399664</v>
      </c>
      <c r="K88" s="93">
        <v>27087</v>
      </c>
      <c r="L88" s="27">
        <v>45652</v>
      </c>
      <c r="M88" s="76">
        <v>45653</v>
      </c>
      <c r="N88" s="109">
        <v>355941</v>
      </c>
      <c r="O88" s="171">
        <v>-43723</v>
      </c>
      <c r="P88" s="172">
        <v>0.87638174999999996</v>
      </c>
      <c r="Q88" s="77">
        <v>45835</v>
      </c>
      <c r="S88" s="2"/>
      <c r="T88" s="23"/>
      <c r="U88" s="2"/>
    </row>
    <row r="89" spans="1:21" x14ac:dyDescent="0.2">
      <c r="A89" s="11" t="s">
        <v>117</v>
      </c>
      <c r="B89" s="20">
        <v>298180</v>
      </c>
      <c r="C89" s="20">
        <v>46150</v>
      </c>
      <c r="D89" s="43">
        <v>45467</v>
      </c>
      <c r="E89" s="101">
        <v>45467</v>
      </c>
      <c r="F89" s="20">
        <v>285295</v>
      </c>
      <c r="G89" s="20">
        <v>-12885</v>
      </c>
      <c r="H89" s="26">
        <v>45551</v>
      </c>
      <c r="I89" s="76">
        <v>45553</v>
      </c>
      <c r="J89" s="20">
        <v>671320</v>
      </c>
      <c r="K89" s="20">
        <v>36025</v>
      </c>
      <c r="L89" s="26">
        <v>45642</v>
      </c>
      <c r="M89" s="76"/>
      <c r="N89" s="107">
        <v>1059185</v>
      </c>
      <c r="O89" s="26">
        <v>49079</v>
      </c>
      <c r="P89" s="154">
        <v>1.0378076000000001</v>
      </c>
      <c r="Q89" s="76">
        <v>45821</v>
      </c>
      <c r="S89" s="2"/>
      <c r="T89" s="23"/>
      <c r="U89" s="2"/>
    </row>
    <row r="90" spans="1:21" x14ac:dyDescent="0.2">
      <c r="A90" s="11" t="s">
        <v>118</v>
      </c>
      <c r="B90" s="20">
        <v>383377</v>
      </c>
      <c r="C90" s="20">
        <v>59336</v>
      </c>
      <c r="D90" s="82">
        <v>45467</v>
      </c>
      <c r="E90" s="101">
        <v>45468</v>
      </c>
      <c r="F90" s="20">
        <v>366809</v>
      </c>
      <c r="G90" s="22">
        <v>-16568</v>
      </c>
      <c r="H90" s="28">
        <v>45551</v>
      </c>
      <c r="I90" s="76">
        <v>45553</v>
      </c>
      <c r="J90" s="22">
        <v>863127</v>
      </c>
      <c r="K90" s="22">
        <v>46318</v>
      </c>
      <c r="L90" s="28">
        <v>45642</v>
      </c>
      <c r="M90" s="76">
        <v>45643</v>
      </c>
      <c r="N90" s="107">
        <v>1361813</v>
      </c>
      <c r="O90" s="28">
        <v>63105</v>
      </c>
      <c r="P90" s="157">
        <v>1.0378076000000001</v>
      </c>
      <c r="Q90" s="76">
        <v>45821</v>
      </c>
      <c r="S90" s="2"/>
      <c r="T90" s="23"/>
      <c r="U90" s="2"/>
    </row>
    <row r="91" spans="1:21" x14ac:dyDescent="0.2">
      <c r="A91" s="11" t="s">
        <v>119</v>
      </c>
      <c r="B91" s="20">
        <v>8519470</v>
      </c>
      <c r="C91" s="20">
        <v>1318573</v>
      </c>
      <c r="D91" s="82">
        <v>45467</v>
      </c>
      <c r="E91" s="101">
        <v>45468</v>
      </c>
      <c r="F91" s="20">
        <v>8151290</v>
      </c>
      <c r="G91" s="22">
        <v>-368180</v>
      </c>
      <c r="H91" s="28">
        <v>45551</v>
      </c>
      <c r="I91" s="76">
        <v>45553</v>
      </c>
      <c r="J91" s="22">
        <v>19180607</v>
      </c>
      <c r="K91" s="22">
        <v>1029317</v>
      </c>
      <c r="L91" s="28">
        <v>45642</v>
      </c>
      <c r="M91" s="76">
        <v>45643</v>
      </c>
      <c r="N91" s="107">
        <v>30262493</v>
      </c>
      <c r="O91" s="28">
        <v>1402287</v>
      </c>
      <c r="P91" s="157">
        <v>1.0378076000000001</v>
      </c>
      <c r="Q91" s="76">
        <v>45821</v>
      </c>
      <c r="S91" s="2"/>
      <c r="T91" s="23"/>
      <c r="U91" s="2"/>
    </row>
    <row r="92" spans="1:21" x14ac:dyDescent="0.2">
      <c r="A92" s="11" t="s">
        <v>120</v>
      </c>
      <c r="B92" s="20">
        <v>4259733</v>
      </c>
      <c r="C92" s="20">
        <v>659287</v>
      </c>
      <c r="D92" s="82">
        <v>45467</v>
      </c>
      <c r="E92" s="101">
        <v>45468</v>
      </c>
      <c r="F92" s="20">
        <v>4075644</v>
      </c>
      <c r="G92" s="22">
        <v>-184089</v>
      </c>
      <c r="H92" s="28">
        <v>45551</v>
      </c>
      <c r="I92" s="76">
        <v>45553</v>
      </c>
      <c r="J92" s="22">
        <v>9590301</v>
      </c>
      <c r="K92" s="22">
        <v>514657</v>
      </c>
      <c r="L92" s="28">
        <v>45642</v>
      </c>
      <c r="M92" s="76">
        <v>45643</v>
      </c>
      <c r="N92" s="107">
        <v>15131243</v>
      </c>
      <c r="O92" s="28">
        <v>701143</v>
      </c>
      <c r="P92" s="157">
        <v>1.0378076000000001</v>
      </c>
      <c r="Q92" s="76">
        <v>45821</v>
      </c>
      <c r="S92" s="2"/>
      <c r="T92" s="23"/>
      <c r="U92" s="2"/>
    </row>
    <row r="93" spans="1:21" x14ac:dyDescent="0.2">
      <c r="A93" s="12" t="s">
        <v>121</v>
      </c>
      <c r="B93" s="21">
        <v>511167</v>
      </c>
      <c r="C93" s="21">
        <v>79114</v>
      </c>
      <c r="D93" s="83">
        <v>45467</v>
      </c>
      <c r="E93" s="101">
        <v>45468</v>
      </c>
      <c r="F93" s="21">
        <v>489077</v>
      </c>
      <c r="G93" s="24">
        <v>-22090</v>
      </c>
      <c r="H93" s="27">
        <v>45551</v>
      </c>
      <c r="I93" s="77">
        <v>45553</v>
      </c>
      <c r="J93" s="21">
        <v>1150835</v>
      </c>
      <c r="K93" s="21">
        <v>61758</v>
      </c>
      <c r="L93" s="27">
        <v>45642</v>
      </c>
      <c r="M93" s="77">
        <v>45643</v>
      </c>
      <c r="N93" s="111">
        <v>1815745</v>
      </c>
      <c r="O93" s="27">
        <v>84133</v>
      </c>
      <c r="P93" s="155">
        <v>1.0378076000000001</v>
      </c>
      <c r="Q93" s="76">
        <v>45821</v>
      </c>
      <c r="S93" s="2"/>
      <c r="T93" s="23"/>
      <c r="U93" s="2"/>
    </row>
  </sheetData>
  <mergeCells count="9">
    <mergeCell ref="N40:Q41"/>
    <mergeCell ref="J63:M65"/>
    <mergeCell ref="N63:Q65"/>
    <mergeCell ref="A1:A3"/>
    <mergeCell ref="C1:Q3"/>
    <mergeCell ref="B4:E4"/>
    <mergeCell ref="F4:I4"/>
    <mergeCell ref="J4:M4"/>
    <mergeCell ref="N4:Q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98C1-7441-4B41-B897-72E1E53CBFA6}">
  <dimension ref="A1:X96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4" sqref="C14"/>
    </sheetView>
  </sheetViews>
  <sheetFormatPr defaultColWidth="9.44140625" defaultRowHeight="11.4" outlineLevelCol="1" x14ac:dyDescent="0.2"/>
  <cols>
    <col min="1" max="1" width="19.44140625" style="1" bestFit="1" customWidth="1"/>
    <col min="2" max="2" width="10" style="1" bestFit="1" customWidth="1"/>
    <col min="3" max="3" width="39.77734375" style="1" bestFit="1" customWidth="1"/>
    <col min="4" max="4" width="27.21875" style="1" customWidth="1" outlineLevel="1"/>
    <col min="5" max="5" width="16.44140625" style="23" customWidth="1" outlineLevel="1"/>
    <col min="6" max="6" width="12.33203125" style="2" customWidth="1" outlineLevel="1"/>
    <col min="7" max="7" width="14" style="2" customWidth="1" outlineLevel="1"/>
    <col min="8" max="8" width="22.6640625" style="2" bestFit="1" customWidth="1" outlineLevel="1" collapsed="1"/>
    <col min="9" max="9" width="15.5546875" style="1" customWidth="1" outlineLevel="1"/>
    <col min="10" max="10" width="11.5546875" style="2" customWidth="1" outlineLevel="1"/>
    <col min="11" max="11" width="14" style="2" customWidth="1" outlineLevel="1"/>
    <col min="12" max="12" width="26" style="100" bestFit="1" customWidth="1" outlineLevel="1" collapsed="1"/>
    <col min="13" max="13" width="16.44140625" style="1" customWidth="1" outlineLevel="1"/>
    <col min="14" max="14" width="13.5546875" style="2" customWidth="1" outlineLevel="1"/>
    <col min="15" max="15" width="14" style="2" customWidth="1" outlineLevel="1"/>
    <col min="16" max="16" width="21.5546875" style="23" bestFit="1" customWidth="1"/>
    <col min="17" max="17" width="15.5546875" style="1" bestFit="1" customWidth="1"/>
    <col min="18" max="18" width="15.5546875" style="163" bestFit="1" customWidth="1"/>
    <col min="19" max="19" width="14" style="2" bestFit="1" customWidth="1"/>
    <col min="20" max="20" width="18.44140625" style="1" bestFit="1" customWidth="1"/>
    <col min="21" max="21" width="12.5546875" style="1" bestFit="1" customWidth="1"/>
    <col min="22" max="22" width="10.44140625" style="1" bestFit="1" customWidth="1"/>
    <col min="23" max="23" width="9.44140625" style="1"/>
    <col min="24" max="24" width="17.44140625" style="1" bestFit="1" customWidth="1"/>
    <col min="25" max="16384" width="9.44140625" style="1"/>
  </cols>
  <sheetData>
    <row r="1" spans="1:24" ht="11.25" customHeight="1" x14ac:dyDescent="0.2">
      <c r="A1" s="215"/>
      <c r="B1" s="95"/>
      <c r="C1" s="95"/>
      <c r="D1" s="95"/>
      <c r="E1" s="221" t="s">
        <v>54</v>
      </c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</row>
    <row r="2" spans="1:24" ht="11.25" customHeight="1" x14ac:dyDescent="0.2">
      <c r="A2" s="216"/>
      <c r="B2" s="96"/>
      <c r="C2" s="96"/>
      <c r="D2" s="96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</row>
    <row r="3" spans="1:24" ht="12" customHeight="1" thickBot="1" x14ac:dyDescent="0.25">
      <c r="A3" s="217"/>
      <c r="B3" s="97"/>
      <c r="C3" s="97"/>
      <c r="D3" s="97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</row>
    <row r="4" spans="1:24" ht="15" customHeight="1" x14ac:dyDescent="0.2">
      <c r="A4" s="9" t="s">
        <v>39</v>
      </c>
      <c r="B4" s="127" t="s">
        <v>156</v>
      </c>
      <c r="C4" s="197"/>
      <c r="D4" s="228" t="s">
        <v>40</v>
      </c>
      <c r="E4" s="229"/>
      <c r="F4" s="229"/>
      <c r="G4" s="230"/>
      <c r="H4" s="228" t="s">
        <v>41</v>
      </c>
      <c r="I4" s="229"/>
      <c r="J4" s="229"/>
      <c r="K4" s="230"/>
      <c r="L4" s="228" t="s">
        <v>42</v>
      </c>
      <c r="M4" s="229"/>
      <c r="N4" s="229"/>
      <c r="O4" s="230"/>
      <c r="P4" s="228" t="s">
        <v>43</v>
      </c>
      <c r="Q4" s="229"/>
      <c r="R4" s="229"/>
      <c r="S4" s="230"/>
    </row>
    <row r="5" spans="1:24" ht="12" thickBot="1" x14ac:dyDescent="0.25">
      <c r="A5" s="10" t="s">
        <v>38</v>
      </c>
      <c r="B5" s="185" t="s">
        <v>157</v>
      </c>
      <c r="C5" s="198" t="s">
        <v>190</v>
      </c>
      <c r="D5" s="199" t="s">
        <v>191</v>
      </c>
      <c r="E5" s="10" t="s">
        <v>192</v>
      </c>
      <c r="F5" s="153" t="s">
        <v>193</v>
      </c>
      <c r="G5" s="6" t="s">
        <v>194</v>
      </c>
      <c r="H5" s="104" t="s">
        <v>195</v>
      </c>
      <c r="I5" s="10" t="s">
        <v>196</v>
      </c>
      <c r="J5" s="153" t="s">
        <v>197</v>
      </c>
      <c r="K5" s="6" t="s">
        <v>198</v>
      </c>
      <c r="L5" s="104" t="s">
        <v>199</v>
      </c>
      <c r="M5" s="10" t="s">
        <v>200</v>
      </c>
      <c r="N5" s="153" t="s">
        <v>201</v>
      </c>
      <c r="O5" s="6" t="s">
        <v>202</v>
      </c>
      <c r="P5" s="104" t="s">
        <v>203</v>
      </c>
      <c r="Q5" s="10" t="s">
        <v>204</v>
      </c>
      <c r="R5" s="153" t="s">
        <v>205</v>
      </c>
      <c r="S5" s="6" t="s">
        <v>206</v>
      </c>
    </row>
    <row r="6" spans="1:24" x14ac:dyDescent="0.2">
      <c r="A6" s="34" t="s">
        <v>0</v>
      </c>
      <c r="B6" s="175" t="s">
        <v>132</v>
      </c>
      <c r="C6" s="175" t="s">
        <v>164</v>
      </c>
      <c r="D6" s="200">
        <v>2704358</v>
      </c>
      <c r="E6" s="20">
        <v>13837</v>
      </c>
      <c r="F6" s="154">
        <v>1.0125090000000001</v>
      </c>
      <c r="G6" s="76">
        <v>45782</v>
      </c>
      <c r="H6" s="191">
        <v>2763330</v>
      </c>
      <c r="I6" s="20">
        <v>58510</v>
      </c>
      <c r="J6" s="154">
        <v>1.0344150000000001</v>
      </c>
      <c r="K6" s="69">
        <v>45869</v>
      </c>
      <c r="L6" s="105">
        <v>2287634</v>
      </c>
      <c r="M6" s="20">
        <v>6199</v>
      </c>
      <c r="N6" s="154">
        <v>1.0372209999999999</v>
      </c>
      <c r="O6" s="76">
        <v>45968</v>
      </c>
      <c r="P6" s="105"/>
      <c r="Q6" s="20"/>
      <c r="R6" s="154"/>
      <c r="S6" s="76"/>
      <c r="T6" s="103"/>
      <c r="U6" s="116"/>
      <c r="V6" s="116"/>
    </row>
    <row r="7" spans="1:24" x14ac:dyDescent="0.2">
      <c r="A7" s="38" t="s">
        <v>1</v>
      </c>
      <c r="B7" s="176" t="s">
        <v>132</v>
      </c>
      <c r="C7" s="175" t="s">
        <v>164</v>
      </c>
      <c r="D7" s="201">
        <v>90135</v>
      </c>
      <c r="E7" s="21">
        <v>459</v>
      </c>
      <c r="F7" s="155">
        <v>1.0125090000000001</v>
      </c>
      <c r="G7" s="76">
        <v>45782</v>
      </c>
      <c r="H7" s="133">
        <v>92100</v>
      </c>
      <c r="I7" s="21">
        <v>1949</v>
      </c>
      <c r="J7" s="155">
        <v>1.0344150000000001</v>
      </c>
      <c r="K7" s="25">
        <v>45869</v>
      </c>
      <c r="L7" s="106">
        <v>76241</v>
      </c>
      <c r="M7" s="21">
        <v>206</v>
      </c>
      <c r="N7" s="155">
        <v>1.0372209999999999</v>
      </c>
      <c r="O7" s="77">
        <v>45968</v>
      </c>
      <c r="P7" s="106"/>
      <c r="Q7" s="21"/>
      <c r="R7" s="155"/>
      <c r="S7" s="76"/>
      <c r="T7" s="103"/>
      <c r="U7" s="116"/>
      <c r="V7" s="116"/>
    </row>
    <row r="8" spans="1:24" x14ac:dyDescent="0.2">
      <c r="A8" s="11" t="s">
        <v>67</v>
      </c>
      <c r="B8" s="177" t="s">
        <v>133</v>
      </c>
      <c r="C8" s="175" t="s">
        <v>165</v>
      </c>
      <c r="D8" s="202">
        <v>55151482</v>
      </c>
      <c r="E8" s="70">
        <v>-197758</v>
      </c>
      <c r="F8" s="156">
        <v>1.016554</v>
      </c>
      <c r="G8" s="76">
        <v>45782</v>
      </c>
      <c r="H8" s="134">
        <v>55276410</v>
      </c>
      <c r="I8" s="70">
        <v>2969667</v>
      </c>
      <c r="J8" s="156">
        <v>1.074268</v>
      </c>
      <c r="K8" s="32">
        <v>45869</v>
      </c>
      <c r="L8" s="107">
        <v>54224041</v>
      </c>
      <c r="M8" s="70">
        <v>4013220</v>
      </c>
      <c r="N8" s="156">
        <v>1.160131</v>
      </c>
      <c r="O8" s="165">
        <v>45974</v>
      </c>
      <c r="P8" s="107"/>
      <c r="Q8" s="70"/>
      <c r="R8" s="156"/>
      <c r="S8" s="76"/>
      <c r="U8" s="2"/>
      <c r="V8" s="23"/>
      <c r="W8" s="2"/>
    </row>
    <row r="9" spans="1:24" x14ac:dyDescent="0.2">
      <c r="A9" s="12" t="s">
        <v>68</v>
      </c>
      <c r="B9" s="178" t="s">
        <v>133</v>
      </c>
      <c r="C9" s="175" t="s">
        <v>165</v>
      </c>
      <c r="D9" s="201">
        <v>2297965</v>
      </c>
      <c r="E9" s="21">
        <v>-8238</v>
      </c>
      <c r="F9" s="155">
        <v>1.016554</v>
      </c>
      <c r="G9" s="76">
        <v>45782</v>
      </c>
      <c r="H9" s="133">
        <v>2303173</v>
      </c>
      <c r="I9" s="21">
        <v>123739</v>
      </c>
      <c r="J9" s="155">
        <v>1.074268</v>
      </c>
      <c r="K9" s="25">
        <v>45869</v>
      </c>
      <c r="L9" s="106">
        <v>2259324</v>
      </c>
      <c r="M9" s="21">
        <v>167217</v>
      </c>
      <c r="N9" s="155">
        <v>1.160131</v>
      </c>
      <c r="O9" s="194">
        <v>45974</v>
      </c>
      <c r="P9" s="106"/>
      <c r="Q9" s="21"/>
      <c r="R9" s="155"/>
      <c r="S9" s="76"/>
      <c r="U9" s="2"/>
      <c r="V9" s="23"/>
      <c r="W9" s="2"/>
    </row>
    <row r="10" spans="1:24" x14ac:dyDescent="0.2">
      <c r="A10" s="11" t="s">
        <v>69</v>
      </c>
      <c r="B10" s="177" t="s">
        <v>134</v>
      </c>
      <c r="C10" s="175" t="s">
        <v>166</v>
      </c>
      <c r="D10" s="202">
        <v>1310815</v>
      </c>
      <c r="E10" s="20">
        <v>-29046</v>
      </c>
      <c r="F10" s="154">
        <v>0.95683799999999997</v>
      </c>
      <c r="G10" s="76">
        <v>45782</v>
      </c>
      <c r="H10" s="134">
        <v>1306753</v>
      </c>
      <c r="I10" s="20">
        <v>-4790</v>
      </c>
      <c r="J10" s="154">
        <v>0.95333999999999997</v>
      </c>
      <c r="K10" s="32">
        <v>45869</v>
      </c>
      <c r="L10" s="107">
        <v>1290321</v>
      </c>
      <c r="M10" s="20">
        <v>-20460</v>
      </c>
      <c r="N10" s="154">
        <v>0.93845999999999996</v>
      </c>
      <c r="O10" s="76">
        <v>45968</v>
      </c>
      <c r="P10" s="107"/>
      <c r="Q10" s="20"/>
      <c r="R10" s="154"/>
      <c r="S10" s="76"/>
      <c r="U10" s="2"/>
      <c r="V10" s="23"/>
      <c r="W10" s="2"/>
    </row>
    <row r="11" spans="1:24" x14ac:dyDescent="0.2">
      <c r="A11" s="13" t="s">
        <v>70</v>
      </c>
      <c r="B11" s="177" t="s">
        <v>134</v>
      </c>
      <c r="C11" s="175" t="s">
        <v>188</v>
      </c>
      <c r="D11" s="202">
        <v>58986517</v>
      </c>
      <c r="E11" s="22">
        <v>-1306902</v>
      </c>
      <c r="F11" s="157">
        <v>0.95683799999999997</v>
      </c>
      <c r="G11" s="76">
        <v>45782</v>
      </c>
      <c r="H11" s="134">
        <v>58803574</v>
      </c>
      <c r="I11" s="22">
        <v>-215710</v>
      </c>
      <c r="J11" s="157">
        <v>0.95333999999999997</v>
      </c>
      <c r="K11" s="81">
        <v>45869</v>
      </c>
      <c r="L11" s="107">
        <v>58064135</v>
      </c>
      <c r="M11" s="22">
        <v>-920706</v>
      </c>
      <c r="N11" s="157">
        <v>0.93845999999999996</v>
      </c>
      <c r="O11" s="76">
        <v>45968</v>
      </c>
      <c r="P11" s="107"/>
      <c r="Q11" s="22"/>
      <c r="R11" s="157"/>
      <c r="S11" s="76"/>
      <c r="U11" s="2"/>
      <c r="V11" s="23"/>
      <c r="W11" s="2"/>
    </row>
    <row r="12" spans="1:24" x14ac:dyDescent="0.2">
      <c r="A12" s="12" t="s">
        <v>71</v>
      </c>
      <c r="B12" s="178" t="s">
        <v>134</v>
      </c>
      <c r="C12" s="175" t="s">
        <v>166</v>
      </c>
      <c r="D12" s="201">
        <v>5243228</v>
      </c>
      <c r="E12" s="21">
        <v>-116169</v>
      </c>
      <c r="F12" s="155">
        <v>0.95683799999999997</v>
      </c>
      <c r="G12" s="76">
        <v>45782</v>
      </c>
      <c r="H12" s="133">
        <v>5226969</v>
      </c>
      <c r="I12" s="21">
        <v>-19172</v>
      </c>
      <c r="J12" s="155">
        <v>0.95333999999999997</v>
      </c>
      <c r="K12" s="25">
        <v>45869</v>
      </c>
      <c r="L12" s="106">
        <v>5161244</v>
      </c>
      <c r="M12" s="21">
        <v>-81838</v>
      </c>
      <c r="N12" s="155">
        <v>0.93845999999999996</v>
      </c>
      <c r="O12" s="101">
        <v>45968</v>
      </c>
      <c r="P12" s="106"/>
      <c r="Q12" s="21"/>
      <c r="R12" s="155"/>
      <c r="S12" s="76"/>
      <c r="U12" s="2"/>
      <c r="V12" s="23"/>
      <c r="W12" s="2"/>
      <c r="X12" s="23"/>
    </row>
    <row r="13" spans="1:24" x14ac:dyDescent="0.2">
      <c r="A13" s="11" t="s">
        <v>72</v>
      </c>
      <c r="B13" s="177" t="s">
        <v>135</v>
      </c>
      <c r="C13" s="175" t="s">
        <v>167</v>
      </c>
      <c r="D13" s="202">
        <v>953968</v>
      </c>
      <c r="E13" s="20">
        <v>-16838</v>
      </c>
      <c r="F13" s="154">
        <v>0.96810700000000005</v>
      </c>
      <c r="G13" s="76">
        <v>45782</v>
      </c>
      <c r="H13" s="134">
        <v>966694</v>
      </c>
      <c r="I13" s="20">
        <v>9149</v>
      </c>
      <c r="J13" s="154">
        <v>0.97736000000000001</v>
      </c>
      <c r="K13" s="32">
        <v>45870</v>
      </c>
      <c r="L13" s="107">
        <v>948649</v>
      </c>
      <c r="M13" s="20">
        <v>-18922</v>
      </c>
      <c r="N13" s="154">
        <v>0.95824100000000001</v>
      </c>
      <c r="O13" s="76">
        <v>45972</v>
      </c>
      <c r="P13" s="107"/>
      <c r="Q13" s="20"/>
      <c r="R13" s="154"/>
      <c r="S13" s="76"/>
      <c r="U13" s="2"/>
      <c r="V13" s="23"/>
      <c r="W13" s="2"/>
      <c r="X13" s="23"/>
    </row>
    <row r="14" spans="1:24" x14ac:dyDescent="0.2">
      <c r="A14" s="13" t="s">
        <v>73</v>
      </c>
      <c r="B14" s="177" t="s">
        <v>135</v>
      </c>
      <c r="C14" s="175" t="s">
        <v>167</v>
      </c>
      <c r="D14" s="202">
        <v>91154695</v>
      </c>
      <c r="E14" s="22">
        <v>-1609384</v>
      </c>
      <c r="F14" s="157">
        <v>0.96810700000000005</v>
      </c>
      <c r="G14" s="76">
        <v>45782</v>
      </c>
      <c r="H14" s="134">
        <v>92370986</v>
      </c>
      <c r="I14" s="22">
        <v>874512</v>
      </c>
      <c r="J14" s="157">
        <v>0.97736000000000001</v>
      </c>
      <c r="K14" s="32">
        <v>45870</v>
      </c>
      <c r="L14" s="107">
        <v>90646171</v>
      </c>
      <c r="M14" s="22">
        <v>-1808576</v>
      </c>
      <c r="N14" s="157">
        <v>0.95824100000000001</v>
      </c>
      <c r="O14" s="76">
        <v>45972</v>
      </c>
      <c r="P14" s="107"/>
      <c r="Q14" s="22"/>
      <c r="R14" s="157"/>
      <c r="S14" s="76"/>
      <c r="U14" s="2"/>
      <c r="V14" s="23"/>
      <c r="W14" s="2"/>
      <c r="X14" s="103"/>
    </row>
    <row r="15" spans="1:24" x14ac:dyDescent="0.2">
      <c r="A15" s="13" t="s">
        <v>74</v>
      </c>
      <c r="B15" s="177" t="s">
        <v>135</v>
      </c>
      <c r="C15" s="175" t="s">
        <v>167</v>
      </c>
      <c r="D15" s="202">
        <v>2967813</v>
      </c>
      <c r="E15" s="22">
        <v>-52398</v>
      </c>
      <c r="F15" s="157">
        <v>0.96810700000000005</v>
      </c>
      <c r="G15" s="76">
        <v>45782</v>
      </c>
      <c r="H15" s="134">
        <v>3007414</v>
      </c>
      <c r="I15" s="22">
        <v>28473</v>
      </c>
      <c r="J15" s="157">
        <v>0.97736000000000001</v>
      </c>
      <c r="K15" s="32">
        <v>45870</v>
      </c>
      <c r="L15" s="107">
        <v>2951256</v>
      </c>
      <c r="M15" s="22">
        <v>-58885</v>
      </c>
      <c r="N15" s="157">
        <v>0.95824100000000001</v>
      </c>
      <c r="O15" s="76">
        <v>45972</v>
      </c>
      <c r="P15" s="107"/>
      <c r="Q15" s="22"/>
      <c r="R15" s="157"/>
      <c r="S15" s="76"/>
      <c r="U15" s="2"/>
      <c r="V15" s="23"/>
      <c r="W15" s="2"/>
      <c r="X15" s="102"/>
    </row>
    <row r="16" spans="1:24" x14ac:dyDescent="0.2">
      <c r="A16" s="12" t="s">
        <v>75</v>
      </c>
      <c r="B16" s="178" t="s">
        <v>135</v>
      </c>
      <c r="C16" s="175" t="s">
        <v>167</v>
      </c>
      <c r="D16" s="203">
        <v>10917379</v>
      </c>
      <c r="E16" s="21">
        <v>-192751</v>
      </c>
      <c r="F16" s="155">
        <v>0.96810700000000005</v>
      </c>
      <c r="G16" s="76">
        <v>45782</v>
      </c>
      <c r="H16" s="111">
        <v>11063056</v>
      </c>
      <c r="I16" s="21">
        <v>104743</v>
      </c>
      <c r="J16" s="155">
        <v>0.97736000000000001</v>
      </c>
      <c r="K16" s="32">
        <v>45870</v>
      </c>
      <c r="L16" s="108">
        <v>10856481</v>
      </c>
      <c r="M16" s="21">
        <v>-216607</v>
      </c>
      <c r="N16" s="155">
        <v>0.95824100000000001</v>
      </c>
      <c r="O16" s="165">
        <v>45972</v>
      </c>
      <c r="P16" s="108"/>
      <c r="Q16" s="21"/>
      <c r="R16" s="155"/>
      <c r="S16" s="76"/>
      <c r="U16" s="2"/>
      <c r="V16" s="23"/>
      <c r="W16" s="2"/>
    </row>
    <row r="17" spans="1:23" x14ac:dyDescent="0.2">
      <c r="A17" s="11" t="s">
        <v>77</v>
      </c>
      <c r="B17" s="177" t="s">
        <v>136</v>
      </c>
      <c r="C17" s="175" t="s">
        <v>189</v>
      </c>
      <c r="D17" s="202">
        <v>3414644</v>
      </c>
      <c r="E17" s="20">
        <v>99727</v>
      </c>
      <c r="F17" s="154">
        <v>1.033477</v>
      </c>
      <c r="G17" s="76">
        <v>45782</v>
      </c>
      <c r="H17" s="134">
        <v>3591107</v>
      </c>
      <c r="I17" s="20">
        <v>45045</v>
      </c>
      <c r="J17" s="154">
        <v>1.046597</v>
      </c>
      <c r="K17" s="32">
        <v>45870</v>
      </c>
      <c r="L17" s="107">
        <v>3722499</v>
      </c>
      <c r="M17" s="20">
        <v>84429</v>
      </c>
      <c r="N17" s="154">
        <v>1.0707869999999999</v>
      </c>
      <c r="O17" s="165">
        <v>45972</v>
      </c>
      <c r="P17" s="107"/>
      <c r="Q17" s="20"/>
      <c r="R17" s="154"/>
      <c r="S17" s="76"/>
      <c r="U17" s="2"/>
      <c r="V17" s="23"/>
      <c r="W17" s="2"/>
    </row>
    <row r="18" spans="1:23" x14ac:dyDescent="0.2">
      <c r="A18" s="11" t="s">
        <v>76</v>
      </c>
      <c r="B18" s="177" t="s">
        <v>136</v>
      </c>
      <c r="C18" s="175" t="s">
        <v>189</v>
      </c>
      <c r="D18" s="202">
        <v>2382326</v>
      </c>
      <c r="E18" s="22">
        <v>69577</v>
      </c>
      <c r="F18" s="157">
        <v>1.033477</v>
      </c>
      <c r="G18" s="76">
        <v>45782</v>
      </c>
      <c r="H18" s="134">
        <v>2505443</v>
      </c>
      <c r="I18" s="22">
        <v>31431</v>
      </c>
      <c r="J18" s="157">
        <v>1.046597</v>
      </c>
      <c r="K18" s="32">
        <v>45870</v>
      </c>
      <c r="L18" s="107">
        <v>2597109</v>
      </c>
      <c r="M18" s="22">
        <v>58901</v>
      </c>
      <c r="N18" s="157">
        <v>1.0707869999999999</v>
      </c>
      <c r="O18" s="165">
        <v>45972</v>
      </c>
      <c r="P18" s="107"/>
      <c r="Q18" s="22"/>
      <c r="R18" s="157"/>
      <c r="S18" s="76"/>
      <c r="U18" s="2"/>
      <c r="V18" s="23"/>
      <c r="W18" s="2"/>
    </row>
    <row r="19" spans="1:23" x14ac:dyDescent="0.2">
      <c r="A19" s="11" t="s">
        <v>78</v>
      </c>
      <c r="B19" s="177" t="s">
        <v>136</v>
      </c>
      <c r="C19" s="175" t="s">
        <v>189</v>
      </c>
      <c r="D19" s="202">
        <v>131027194</v>
      </c>
      <c r="E19" s="22">
        <v>3826772</v>
      </c>
      <c r="F19" s="157">
        <v>1.033477</v>
      </c>
      <c r="G19" s="76">
        <v>45782</v>
      </c>
      <c r="H19" s="134">
        <v>137798628</v>
      </c>
      <c r="I19" s="22">
        <v>1728678</v>
      </c>
      <c r="J19" s="157">
        <v>1.046597</v>
      </c>
      <c r="K19" s="32">
        <v>45870</v>
      </c>
      <c r="L19" s="107">
        <v>142840330</v>
      </c>
      <c r="M19" s="22">
        <v>3239627</v>
      </c>
      <c r="N19" s="157">
        <v>1.0707869999999999</v>
      </c>
      <c r="O19" s="165">
        <v>45972</v>
      </c>
      <c r="P19" s="107"/>
      <c r="Q19" s="22"/>
      <c r="R19" s="157"/>
      <c r="S19" s="76"/>
      <c r="U19" s="2"/>
      <c r="V19" s="23"/>
      <c r="W19" s="2"/>
    </row>
    <row r="20" spans="1:23" x14ac:dyDescent="0.2">
      <c r="A20" s="11" t="s">
        <v>79</v>
      </c>
      <c r="B20" s="177" t="s">
        <v>136</v>
      </c>
      <c r="C20" s="175" t="s">
        <v>189</v>
      </c>
      <c r="D20" s="202">
        <v>59557830</v>
      </c>
      <c r="E20" s="22">
        <v>1739445</v>
      </c>
      <c r="F20" s="155">
        <v>1.033477</v>
      </c>
      <c r="G20" s="76">
        <v>45782</v>
      </c>
      <c r="H20" s="134">
        <v>62635746</v>
      </c>
      <c r="I20" s="22">
        <v>785757</v>
      </c>
      <c r="J20" s="155">
        <v>1.046597</v>
      </c>
      <c r="K20" s="32">
        <v>45870</v>
      </c>
      <c r="L20" s="107">
        <v>64927425</v>
      </c>
      <c r="M20" s="22">
        <v>1472554</v>
      </c>
      <c r="N20" s="157">
        <v>1.0707869999999999</v>
      </c>
      <c r="O20" s="165">
        <v>45972</v>
      </c>
      <c r="P20" s="107"/>
      <c r="Q20" s="22"/>
      <c r="R20" s="155"/>
      <c r="S20" s="76"/>
      <c r="U20" s="2"/>
      <c r="V20" s="23"/>
      <c r="W20" s="2"/>
    </row>
    <row r="21" spans="1:23" x14ac:dyDescent="0.2">
      <c r="A21" s="11" t="s">
        <v>80</v>
      </c>
      <c r="B21" s="177" t="s">
        <v>136</v>
      </c>
      <c r="C21" s="175" t="s">
        <v>189</v>
      </c>
      <c r="D21" s="202">
        <v>3970517</v>
      </c>
      <c r="E21" s="22">
        <v>115965</v>
      </c>
      <c r="F21" s="154">
        <v>1.033477</v>
      </c>
      <c r="G21" s="76">
        <v>45782</v>
      </c>
      <c r="H21" s="134">
        <v>4175711</v>
      </c>
      <c r="I21" s="22">
        <v>52385</v>
      </c>
      <c r="J21" s="154">
        <v>1.046597</v>
      </c>
      <c r="K21" s="32">
        <v>45870</v>
      </c>
      <c r="L21" s="107">
        <v>4328491</v>
      </c>
      <c r="M21" s="22">
        <v>98172</v>
      </c>
      <c r="N21" s="154">
        <v>1.0707869999999999</v>
      </c>
      <c r="O21" s="165">
        <v>45972</v>
      </c>
      <c r="P21" s="107"/>
      <c r="Q21" s="22"/>
      <c r="R21" s="154"/>
      <c r="S21" s="76"/>
      <c r="U21" s="2"/>
      <c r="V21" s="23"/>
      <c r="W21" s="2"/>
    </row>
    <row r="22" spans="1:23" x14ac:dyDescent="0.2">
      <c r="A22" s="11" t="s">
        <v>81</v>
      </c>
      <c r="B22" s="177" t="s">
        <v>136</v>
      </c>
      <c r="C22" s="175" t="s">
        <v>189</v>
      </c>
      <c r="D22" s="202">
        <v>4685210.4890831839</v>
      </c>
      <c r="E22" s="22">
        <v>136836.24056167807</v>
      </c>
      <c r="F22" s="157">
        <v>1.033477</v>
      </c>
      <c r="G22" s="76">
        <v>45782</v>
      </c>
      <c r="H22" s="134">
        <v>4927332.2409979329</v>
      </c>
      <c r="I22" s="22">
        <v>61805.361503261141</v>
      </c>
      <c r="J22" s="157">
        <v>1.046597</v>
      </c>
      <c r="K22" s="32">
        <v>45870</v>
      </c>
      <c r="L22" s="107">
        <v>5107611.5185021926</v>
      </c>
      <c r="M22" s="22">
        <v>115840.80281384103</v>
      </c>
      <c r="N22" s="157">
        <v>1.0707869999999999</v>
      </c>
      <c r="O22" s="165">
        <v>45972</v>
      </c>
      <c r="P22" s="107"/>
      <c r="Q22" s="22"/>
      <c r="R22" s="157"/>
      <c r="S22" s="76"/>
      <c r="U22" s="2"/>
      <c r="V22" s="23"/>
      <c r="W22" s="2"/>
    </row>
    <row r="23" spans="1:23" x14ac:dyDescent="0.2">
      <c r="A23" s="68" t="s">
        <v>82</v>
      </c>
      <c r="B23" s="178" t="s">
        <v>136</v>
      </c>
      <c r="C23" s="175" t="s">
        <v>189</v>
      </c>
      <c r="D23" s="203">
        <v>238230.51091681625</v>
      </c>
      <c r="E23" s="21">
        <v>6957.7594383222458</v>
      </c>
      <c r="F23" s="157">
        <v>1.033477</v>
      </c>
      <c r="G23" s="76">
        <v>45782</v>
      </c>
      <c r="H23" s="111">
        <v>250541.75900206764</v>
      </c>
      <c r="I23" s="21">
        <v>3142.6384967394406</v>
      </c>
      <c r="J23" s="157">
        <v>1.046597</v>
      </c>
      <c r="K23" s="32">
        <v>45870</v>
      </c>
      <c r="L23" s="108">
        <v>259708.48149780737</v>
      </c>
      <c r="M23" s="21">
        <v>5890.1971861580387</v>
      </c>
      <c r="N23" s="195">
        <v>1.0707869999999999</v>
      </c>
      <c r="O23" s="194">
        <v>45972</v>
      </c>
      <c r="P23" s="108"/>
      <c r="Q23" s="21"/>
      <c r="R23" s="157"/>
      <c r="S23" s="76"/>
      <c r="U23" s="2"/>
      <c r="V23" s="23"/>
      <c r="W23" s="2"/>
    </row>
    <row r="24" spans="1:23" x14ac:dyDescent="0.2">
      <c r="A24" s="67" t="s">
        <v>97</v>
      </c>
      <c r="B24" s="179" t="s">
        <v>137</v>
      </c>
      <c r="C24" s="175" t="s">
        <v>168</v>
      </c>
      <c r="D24" s="204">
        <v>146645365</v>
      </c>
      <c r="E24" s="72">
        <v>40074084</v>
      </c>
      <c r="F24" s="157">
        <v>1.6350769999999999</v>
      </c>
      <c r="G24" s="76">
        <v>45793</v>
      </c>
      <c r="H24" s="135">
        <v>119520073</v>
      </c>
      <c r="I24" s="72">
        <v>-3616091</v>
      </c>
      <c r="J24" s="157">
        <v>1.588039</v>
      </c>
      <c r="K24" s="32">
        <v>45889</v>
      </c>
      <c r="L24" s="109">
        <v>130558515</v>
      </c>
      <c r="M24" s="72">
        <v>6667124</v>
      </c>
      <c r="N24" s="196">
        <v>1.6730499999999999</v>
      </c>
      <c r="O24" s="165">
        <v>45972</v>
      </c>
      <c r="P24" s="109"/>
      <c r="Q24" s="72"/>
      <c r="R24" s="157"/>
      <c r="S24" s="76"/>
    </row>
    <row r="25" spans="1:23" x14ac:dyDescent="0.2">
      <c r="A25" s="67" t="s">
        <v>131</v>
      </c>
      <c r="B25" s="186" t="s">
        <v>138</v>
      </c>
      <c r="C25" s="175" t="s">
        <v>169</v>
      </c>
      <c r="D25" s="205" t="s">
        <v>163</v>
      </c>
      <c r="E25" s="181" t="s">
        <v>163</v>
      </c>
      <c r="F25" s="182" t="s">
        <v>163</v>
      </c>
      <c r="G25" s="183" t="s">
        <v>163</v>
      </c>
      <c r="H25" s="135">
        <v>41572195</v>
      </c>
      <c r="I25" s="72">
        <v>12727994</v>
      </c>
      <c r="J25" s="162">
        <v>1.5556540000000001</v>
      </c>
      <c r="K25" s="25">
        <v>45889</v>
      </c>
      <c r="L25" s="109">
        <v>45411654</v>
      </c>
      <c r="M25" s="72">
        <v>2319001</v>
      </c>
      <c r="N25" s="196">
        <v>1.6389320000000001</v>
      </c>
      <c r="O25" s="165">
        <v>45972</v>
      </c>
      <c r="P25" s="109"/>
      <c r="Q25" s="72"/>
      <c r="R25" s="162"/>
      <c r="S25" s="173"/>
    </row>
    <row r="26" spans="1:23" x14ac:dyDescent="0.2">
      <c r="A26" s="67" t="s">
        <v>2</v>
      </c>
      <c r="B26" s="179" t="s">
        <v>139</v>
      </c>
      <c r="C26" s="175" t="s">
        <v>180</v>
      </c>
      <c r="D26" s="204">
        <v>528306</v>
      </c>
      <c r="E26" s="72">
        <v>-871</v>
      </c>
      <c r="F26" s="158">
        <v>0.95742099999999997</v>
      </c>
      <c r="G26" s="76">
        <v>45824</v>
      </c>
      <c r="H26" s="135">
        <v>574402</v>
      </c>
      <c r="I26" s="72">
        <v>46096</v>
      </c>
      <c r="J26" s="158">
        <v>1.040959</v>
      </c>
      <c r="K26" s="53">
        <v>45917</v>
      </c>
      <c r="L26" s="109"/>
      <c r="M26" s="72"/>
      <c r="N26" s="158"/>
      <c r="O26" s="78"/>
      <c r="P26" s="109"/>
      <c r="Q26" s="72"/>
      <c r="R26" s="158"/>
      <c r="S26" s="78"/>
    </row>
    <row r="27" spans="1:23" x14ac:dyDescent="0.2">
      <c r="A27" s="12" t="s">
        <v>5</v>
      </c>
      <c r="B27" s="178" t="s">
        <v>140</v>
      </c>
      <c r="C27" s="175" t="s">
        <v>181</v>
      </c>
      <c r="D27" s="203">
        <v>2410909</v>
      </c>
      <c r="E27" s="21">
        <v>54964</v>
      </c>
      <c r="F27" s="155">
        <v>0.97657400000000005</v>
      </c>
      <c r="G27" s="76">
        <v>45828</v>
      </c>
      <c r="H27" s="111">
        <v>2441146</v>
      </c>
      <c r="I27" s="21">
        <v>30237</v>
      </c>
      <c r="J27" s="155">
        <v>0.98882099999999995</v>
      </c>
      <c r="K27" s="53">
        <v>45922</v>
      </c>
      <c r="L27" s="108"/>
      <c r="M27" s="21"/>
      <c r="N27" s="155"/>
      <c r="O27" s="79"/>
      <c r="P27" s="108"/>
      <c r="Q27" s="21"/>
      <c r="R27" s="155"/>
      <c r="S27" s="79"/>
    </row>
    <row r="28" spans="1:23" x14ac:dyDescent="0.2">
      <c r="A28" s="12" t="s">
        <v>6</v>
      </c>
      <c r="B28" s="1" t="s">
        <v>141</v>
      </c>
      <c r="C28" s="175" t="s">
        <v>182</v>
      </c>
      <c r="D28" s="202">
        <v>2271635</v>
      </c>
      <c r="E28" s="21">
        <v>-53566</v>
      </c>
      <c r="F28" s="155">
        <v>1.029633</v>
      </c>
      <c r="G28" s="76">
        <v>45819</v>
      </c>
      <c r="H28" s="135">
        <v>2063482</v>
      </c>
      <c r="I28" s="21">
        <v>-118814</v>
      </c>
      <c r="J28" s="155">
        <v>0.97357499999999997</v>
      </c>
      <c r="K28" s="81">
        <v>45911</v>
      </c>
      <c r="L28" s="99"/>
      <c r="M28" s="21"/>
      <c r="N28" s="155"/>
      <c r="O28" s="79"/>
      <c r="P28" s="99"/>
      <c r="Q28" s="21"/>
      <c r="R28" s="155"/>
      <c r="S28" s="79"/>
    </row>
    <row r="29" spans="1:23" x14ac:dyDescent="0.2">
      <c r="A29" s="11" t="s">
        <v>7</v>
      </c>
      <c r="B29" s="177" t="s">
        <v>142</v>
      </c>
      <c r="C29" s="175" t="s">
        <v>170</v>
      </c>
      <c r="D29" s="202">
        <v>108352</v>
      </c>
      <c r="E29" s="20">
        <v>-2510</v>
      </c>
      <c r="F29" s="154">
        <v>0.97997500000000004</v>
      </c>
      <c r="G29" s="76">
        <v>45820</v>
      </c>
      <c r="H29" s="134">
        <v>104130</v>
      </c>
      <c r="I29" s="20">
        <v>-2862</v>
      </c>
      <c r="J29" s="154">
        <v>0.95376399999999995</v>
      </c>
      <c r="K29" s="81">
        <v>45909</v>
      </c>
      <c r="L29" s="107"/>
      <c r="M29" s="20"/>
      <c r="N29" s="154"/>
      <c r="O29" s="76"/>
      <c r="P29" s="107"/>
      <c r="Q29" s="20"/>
      <c r="R29" s="154"/>
      <c r="S29" s="76"/>
    </row>
    <row r="30" spans="1:23" x14ac:dyDescent="0.2">
      <c r="A30" s="13" t="s">
        <v>8</v>
      </c>
      <c r="B30" s="177" t="s">
        <v>142</v>
      </c>
      <c r="C30" s="175" t="s">
        <v>170</v>
      </c>
      <c r="D30" s="202">
        <v>2362567</v>
      </c>
      <c r="E30" s="22">
        <v>-54715</v>
      </c>
      <c r="F30" s="157">
        <v>0.97997500000000004</v>
      </c>
      <c r="G30" s="76">
        <v>45820</v>
      </c>
      <c r="H30" s="134">
        <v>2270504</v>
      </c>
      <c r="I30" s="22">
        <v>-62400</v>
      </c>
      <c r="J30" s="157">
        <v>0.95376399999999995</v>
      </c>
      <c r="K30" s="81">
        <v>45909</v>
      </c>
      <c r="L30" s="107"/>
      <c r="M30" s="22"/>
      <c r="N30" s="157"/>
      <c r="O30" s="76"/>
      <c r="P30" s="107"/>
      <c r="Q30" s="22"/>
      <c r="R30" s="157"/>
      <c r="S30" s="76"/>
    </row>
    <row r="31" spans="1:23" x14ac:dyDescent="0.2">
      <c r="A31" s="12" t="s">
        <v>9</v>
      </c>
      <c r="B31" s="178" t="s">
        <v>142</v>
      </c>
      <c r="C31" s="175" t="s">
        <v>170</v>
      </c>
      <c r="D31" s="111">
        <v>130059</v>
      </c>
      <c r="E31" s="21">
        <v>-3012</v>
      </c>
      <c r="F31" s="155">
        <v>0.97997500000000004</v>
      </c>
      <c r="G31" s="77">
        <v>45820</v>
      </c>
      <c r="H31" s="111">
        <v>124991</v>
      </c>
      <c r="I31" s="21">
        <v>-3435</v>
      </c>
      <c r="J31" s="155">
        <v>0.95376399999999995</v>
      </c>
      <c r="K31" s="25">
        <v>45909</v>
      </c>
      <c r="L31" s="99"/>
      <c r="M31" s="21"/>
      <c r="N31" s="155"/>
      <c r="O31" s="77"/>
      <c r="P31" s="21"/>
      <c r="Q31" s="21"/>
      <c r="R31" s="155"/>
      <c r="S31" s="77"/>
    </row>
    <row r="32" spans="1:23" x14ac:dyDescent="0.2">
      <c r="A32" s="11" t="s">
        <v>10</v>
      </c>
      <c r="B32" s="177" t="s">
        <v>143</v>
      </c>
      <c r="C32" s="175" t="s">
        <v>171</v>
      </c>
      <c r="D32" s="202">
        <v>206578</v>
      </c>
      <c r="E32" s="20">
        <v>-1581</v>
      </c>
      <c r="F32" s="154">
        <v>0.98707500000000004</v>
      </c>
      <c r="G32" s="76">
        <v>45786</v>
      </c>
      <c r="H32" s="134">
        <v>195242</v>
      </c>
      <c r="I32" s="20">
        <v>-5429</v>
      </c>
      <c r="J32" s="154">
        <v>0.96037099999999997</v>
      </c>
      <c r="K32" s="32">
        <v>45896</v>
      </c>
      <c r="L32" s="107">
        <v>167057</v>
      </c>
      <c r="M32" s="20">
        <v>-11212</v>
      </c>
      <c r="N32" s="154">
        <v>0.89983599999999997</v>
      </c>
      <c r="O32" s="76">
        <v>45973</v>
      </c>
      <c r="P32" s="107"/>
      <c r="Q32" s="20"/>
      <c r="R32" s="154"/>
      <c r="S32" s="76"/>
    </row>
    <row r="33" spans="1:24" x14ac:dyDescent="0.2">
      <c r="A33" s="13" t="s">
        <v>11</v>
      </c>
      <c r="B33" s="177" t="s">
        <v>143</v>
      </c>
      <c r="C33" s="175" t="s">
        <v>171</v>
      </c>
      <c r="D33" s="202">
        <v>8263023</v>
      </c>
      <c r="E33" s="22">
        <v>-63087</v>
      </c>
      <c r="F33" s="157">
        <v>0.98707500000000004</v>
      </c>
      <c r="G33" s="76">
        <v>45786</v>
      </c>
      <c r="H33" s="134">
        <v>7809573</v>
      </c>
      <c r="I33" s="22">
        <v>-217156</v>
      </c>
      <c r="J33" s="157">
        <v>0.96037099999999997</v>
      </c>
      <c r="K33" s="81">
        <v>45896</v>
      </c>
      <c r="L33" s="107">
        <v>6682167</v>
      </c>
      <c r="M33" s="22">
        <v>-449513</v>
      </c>
      <c r="N33" s="157">
        <v>0.89983599999999997</v>
      </c>
      <c r="O33" s="76">
        <v>45973</v>
      </c>
      <c r="P33" s="107"/>
      <c r="Q33" s="22"/>
      <c r="R33" s="157"/>
      <c r="S33" s="76"/>
    </row>
    <row r="34" spans="1:24" x14ac:dyDescent="0.2">
      <c r="A34" s="12" t="s">
        <v>12</v>
      </c>
      <c r="B34" s="178" t="s">
        <v>143</v>
      </c>
      <c r="C34" s="175" t="s">
        <v>171</v>
      </c>
      <c r="D34" s="203">
        <v>413162</v>
      </c>
      <c r="E34" s="21">
        <v>-3153</v>
      </c>
      <c r="F34" s="155">
        <v>0.98707500000000004</v>
      </c>
      <c r="G34" s="77">
        <v>45786</v>
      </c>
      <c r="H34" s="111">
        <v>390489</v>
      </c>
      <c r="I34" s="21">
        <v>-10857</v>
      </c>
      <c r="J34" s="155">
        <v>0.96037099999999997</v>
      </c>
      <c r="K34" s="81">
        <v>45896</v>
      </c>
      <c r="L34" s="108">
        <v>334119</v>
      </c>
      <c r="M34" s="21">
        <v>-22523</v>
      </c>
      <c r="N34" s="155">
        <v>0.89983599999999997</v>
      </c>
      <c r="O34" s="77">
        <v>45973</v>
      </c>
      <c r="P34" s="108"/>
      <c r="Q34" s="21"/>
      <c r="R34" s="155"/>
      <c r="S34" s="77"/>
    </row>
    <row r="35" spans="1:24" x14ac:dyDescent="0.2">
      <c r="A35" s="11" t="s">
        <v>101</v>
      </c>
      <c r="B35" s="177" t="s">
        <v>144</v>
      </c>
      <c r="C35" s="175" t="s">
        <v>183</v>
      </c>
      <c r="D35" s="202">
        <v>488243</v>
      </c>
      <c r="E35" s="20">
        <v>9902</v>
      </c>
      <c r="F35" s="154">
        <v>1.0328649999999999</v>
      </c>
      <c r="G35" s="76">
        <v>45797</v>
      </c>
      <c r="H35" s="134">
        <v>496644</v>
      </c>
      <c r="I35" s="20">
        <v>8401</v>
      </c>
      <c r="J35" s="154">
        <v>1.050637</v>
      </c>
      <c r="K35" s="81">
        <v>45869</v>
      </c>
      <c r="L35" s="115">
        <v>503395</v>
      </c>
      <c r="M35" s="20">
        <v>6751</v>
      </c>
      <c r="N35" s="154">
        <v>1.0649200000000001</v>
      </c>
      <c r="O35" s="76">
        <v>45961</v>
      </c>
      <c r="P35" s="107"/>
      <c r="Q35" s="20"/>
      <c r="R35" s="154"/>
      <c r="S35" s="76"/>
    </row>
    <row r="36" spans="1:24" x14ac:dyDescent="0.2">
      <c r="A36" s="13" t="s">
        <v>100</v>
      </c>
      <c r="B36" s="177" t="s">
        <v>144</v>
      </c>
      <c r="C36" s="175" t="s">
        <v>183</v>
      </c>
      <c r="D36" s="202">
        <v>14706090</v>
      </c>
      <c r="E36" s="22">
        <v>298247</v>
      </c>
      <c r="F36" s="157">
        <v>1.0328649999999999</v>
      </c>
      <c r="G36" s="76">
        <v>45797</v>
      </c>
      <c r="H36" s="134">
        <v>14959131</v>
      </c>
      <c r="I36" s="22">
        <v>253041</v>
      </c>
      <c r="J36" s="157">
        <v>1.050637</v>
      </c>
      <c r="K36" s="81">
        <v>45869</v>
      </c>
      <c r="L36" s="115">
        <v>15162497</v>
      </c>
      <c r="M36" s="22">
        <v>203366</v>
      </c>
      <c r="N36" s="154">
        <v>1.0649200000000001</v>
      </c>
      <c r="O36" s="76">
        <v>45961</v>
      </c>
      <c r="P36" s="107"/>
      <c r="Q36" s="22"/>
      <c r="R36" s="157"/>
      <c r="S36" s="76"/>
    </row>
    <row r="37" spans="1:24" x14ac:dyDescent="0.2">
      <c r="A37" s="12" t="s">
        <v>15</v>
      </c>
      <c r="B37" s="178" t="s">
        <v>144</v>
      </c>
      <c r="C37" s="175" t="s">
        <v>183</v>
      </c>
      <c r="D37" s="203">
        <v>1470610</v>
      </c>
      <c r="E37" s="21">
        <v>29826</v>
      </c>
      <c r="F37" s="155">
        <v>1.0328649999999999</v>
      </c>
      <c r="G37" s="76">
        <v>45797</v>
      </c>
      <c r="H37" s="111">
        <v>1495914</v>
      </c>
      <c r="I37" s="21">
        <v>25304</v>
      </c>
      <c r="J37" s="155">
        <v>1.050637</v>
      </c>
      <c r="K37" s="25">
        <v>45869</v>
      </c>
      <c r="L37" s="188">
        <v>1516251</v>
      </c>
      <c r="M37" s="21">
        <v>20337</v>
      </c>
      <c r="N37" s="155">
        <v>1.0649200000000001</v>
      </c>
      <c r="O37" s="77">
        <v>45961</v>
      </c>
      <c r="P37" s="108"/>
      <c r="Q37" s="21"/>
      <c r="R37" s="155"/>
      <c r="S37" s="76"/>
    </row>
    <row r="38" spans="1:24" x14ac:dyDescent="0.2">
      <c r="A38" s="11" t="s">
        <v>102</v>
      </c>
      <c r="B38" s="11" t="s">
        <v>145</v>
      </c>
      <c r="C38" s="175" t="s">
        <v>184</v>
      </c>
      <c r="D38" s="202">
        <v>834822.26</v>
      </c>
      <c r="E38" s="20">
        <v>9556.890000000014</v>
      </c>
      <c r="F38" s="154">
        <v>1.0271093333333334</v>
      </c>
      <c r="G38" s="76">
        <v>45769</v>
      </c>
      <c r="H38" s="134">
        <v>806134.32</v>
      </c>
      <c r="I38" s="20">
        <v>13356.589999999967</v>
      </c>
      <c r="J38" s="154">
        <v>1.044414</v>
      </c>
      <c r="K38" s="32">
        <v>45854</v>
      </c>
      <c r="L38" s="115">
        <v>759347.1</v>
      </c>
      <c r="M38" s="20">
        <v>8900.5200000000186</v>
      </c>
      <c r="N38" s="154">
        <v>1.0568010000000001</v>
      </c>
      <c r="O38" s="76">
        <v>45946</v>
      </c>
      <c r="P38" s="20"/>
      <c r="Q38" s="20"/>
      <c r="R38" s="154"/>
      <c r="S38" s="76"/>
      <c r="T38" s="23"/>
    </row>
    <row r="39" spans="1:24" x14ac:dyDescent="0.2">
      <c r="A39" s="13" t="s">
        <v>103</v>
      </c>
      <c r="B39" s="11" t="s">
        <v>145</v>
      </c>
      <c r="C39" s="175" t="s">
        <v>184</v>
      </c>
      <c r="D39" s="202">
        <v>19666451.84</v>
      </c>
      <c r="E39" s="20">
        <v>225138.02999999747</v>
      </c>
      <c r="F39" s="154">
        <v>1.0271093333333334</v>
      </c>
      <c r="G39" s="76">
        <v>45769</v>
      </c>
      <c r="H39" s="134">
        <v>18990631.600000001</v>
      </c>
      <c r="I39" s="20">
        <v>314650.10000000149</v>
      </c>
      <c r="J39" s="154">
        <v>1.044414</v>
      </c>
      <c r="K39" s="32">
        <v>45854</v>
      </c>
      <c r="L39" s="115">
        <v>17888434.510000002</v>
      </c>
      <c r="M39" s="20">
        <v>209675.3900000006</v>
      </c>
      <c r="N39" s="154">
        <v>1.0568010000000001</v>
      </c>
      <c r="O39" s="76">
        <v>45946</v>
      </c>
      <c r="P39" s="20"/>
      <c r="Q39" s="20"/>
      <c r="R39" s="154"/>
      <c r="S39" s="76"/>
      <c r="T39" s="23"/>
      <c r="U39" s="23"/>
    </row>
    <row r="40" spans="1:24" x14ac:dyDescent="0.2">
      <c r="A40" s="12" t="s">
        <v>61</v>
      </c>
      <c r="B40" s="12" t="s">
        <v>145</v>
      </c>
      <c r="C40" s="175" t="s">
        <v>184</v>
      </c>
      <c r="D40" s="203">
        <v>1742252.15</v>
      </c>
      <c r="E40" s="24">
        <v>19944.989999999991</v>
      </c>
      <c r="F40" s="159">
        <v>1.0271093333333334</v>
      </c>
      <c r="G40" s="76">
        <v>45769</v>
      </c>
      <c r="H40" s="111">
        <v>1682381.19</v>
      </c>
      <c r="I40" s="24">
        <v>27874.870000000112</v>
      </c>
      <c r="J40" s="155">
        <v>1.044414</v>
      </c>
      <c r="K40" s="53">
        <v>45854</v>
      </c>
      <c r="L40" s="188">
        <v>1584737.49</v>
      </c>
      <c r="M40" s="24">
        <v>18575.160000000149</v>
      </c>
      <c r="N40" s="159">
        <v>1.0568010000000001</v>
      </c>
      <c r="O40" s="25">
        <v>45946</v>
      </c>
      <c r="P40" s="24"/>
      <c r="Q40" s="24"/>
      <c r="R40" s="159"/>
      <c r="S40" s="76"/>
    </row>
    <row r="41" spans="1:24" x14ac:dyDescent="0.2">
      <c r="A41" s="12" t="s">
        <v>18</v>
      </c>
      <c r="B41" s="67" t="s">
        <v>146</v>
      </c>
      <c r="C41" s="175" t="s">
        <v>172</v>
      </c>
      <c r="D41" s="204">
        <v>220769</v>
      </c>
      <c r="E41" s="21">
        <v>1419</v>
      </c>
      <c r="F41" s="155">
        <v>0.95812699999999995</v>
      </c>
      <c r="G41" s="165">
        <v>45839</v>
      </c>
      <c r="H41" s="135">
        <v>206005</v>
      </c>
      <c r="I41" s="21">
        <v>-1647</v>
      </c>
      <c r="J41" s="155">
        <v>0.94994699999999999</v>
      </c>
      <c r="K41" s="51">
        <v>45901</v>
      </c>
      <c r="L41" s="189"/>
      <c r="M41" s="21"/>
      <c r="N41" s="155"/>
      <c r="O41" s="80"/>
      <c r="P41" s="72"/>
      <c r="Q41" s="21"/>
      <c r="R41" s="155"/>
      <c r="S41" s="76"/>
    </row>
    <row r="42" spans="1:24" x14ac:dyDescent="0.2">
      <c r="A42" s="11" t="s">
        <v>19</v>
      </c>
      <c r="B42" s="11" t="s">
        <v>147</v>
      </c>
      <c r="C42" s="175" t="s">
        <v>173</v>
      </c>
      <c r="D42" s="202">
        <v>14699262</v>
      </c>
      <c r="E42" s="20">
        <v>-758444</v>
      </c>
      <c r="F42" s="154">
        <v>0.94092399999999998</v>
      </c>
      <c r="G42" s="77">
        <v>45807</v>
      </c>
      <c r="H42" s="138">
        <v>14948001</v>
      </c>
      <c r="I42" s="20">
        <v>248739</v>
      </c>
      <c r="J42" s="154">
        <v>0.95684599999999997</v>
      </c>
      <c r="K42" s="32">
        <v>45898</v>
      </c>
      <c r="L42" s="115">
        <v>15292503</v>
      </c>
      <c r="M42" s="20">
        <v>344502</v>
      </c>
      <c r="N42" s="154">
        <v>0.97889800000000005</v>
      </c>
      <c r="O42" s="76">
        <v>45987</v>
      </c>
      <c r="P42" s="20"/>
      <c r="Q42" s="20"/>
      <c r="R42" s="154"/>
      <c r="S42" s="15"/>
    </row>
    <row r="43" spans="1:24" x14ac:dyDescent="0.2">
      <c r="A43" s="13" t="s">
        <v>20</v>
      </c>
      <c r="B43" s="13" t="s">
        <v>147</v>
      </c>
      <c r="C43" s="175" t="s">
        <v>173</v>
      </c>
      <c r="D43" s="202">
        <v>671966</v>
      </c>
      <c r="E43" s="22">
        <v>-34672</v>
      </c>
      <c r="F43" s="157">
        <v>0.94092399999999998</v>
      </c>
      <c r="G43" s="77">
        <v>45807</v>
      </c>
      <c r="H43" s="138">
        <v>683337</v>
      </c>
      <c r="I43" s="22">
        <v>11371</v>
      </c>
      <c r="J43" s="157">
        <v>0.95684599999999997</v>
      </c>
      <c r="K43" s="32">
        <v>45898</v>
      </c>
      <c r="L43" s="190">
        <v>699086</v>
      </c>
      <c r="M43" s="22">
        <v>15749</v>
      </c>
      <c r="N43" s="157">
        <v>0.97889800000000005</v>
      </c>
      <c r="O43" s="86">
        <v>45987</v>
      </c>
      <c r="P43" s="22"/>
      <c r="Q43" s="22"/>
      <c r="R43" s="157"/>
      <c r="S43" s="15"/>
    </row>
    <row r="44" spans="1:24" x14ac:dyDescent="0.2">
      <c r="A44" s="12" t="s">
        <v>21</v>
      </c>
      <c r="B44" s="12" t="s">
        <v>147</v>
      </c>
      <c r="C44" s="175" t="s">
        <v>173</v>
      </c>
      <c r="D44" s="203">
        <v>335984</v>
      </c>
      <c r="E44" s="21">
        <v>-17335</v>
      </c>
      <c r="F44" s="155">
        <v>0.94092399999999998</v>
      </c>
      <c r="G44" s="77">
        <v>45807</v>
      </c>
      <c r="H44" s="138">
        <v>341669</v>
      </c>
      <c r="I44" s="21">
        <v>5685</v>
      </c>
      <c r="J44" s="155">
        <v>0.95684599999999997</v>
      </c>
      <c r="K44" s="32">
        <v>45898</v>
      </c>
      <c r="L44" s="99">
        <v>349543</v>
      </c>
      <c r="M44" s="21">
        <v>7874</v>
      </c>
      <c r="N44" s="155">
        <v>0.97889800000000005</v>
      </c>
      <c r="O44" s="101">
        <v>45987</v>
      </c>
      <c r="P44" s="21"/>
      <c r="Q44" s="21"/>
      <c r="R44" s="155"/>
      <c r="S44" s="16"/>
    </row>
    <row r="45" spans="1:24" x14ac:dyDescent="0.2">
      <c r="A45" s="48" t="s">
        <v>44</v>
      </c>
      <c r="B45" s="180" t="s">
        <v>148</v>
      </c>
      <c r="C45" s="175" t="s">
        <v>174</v>
      </c>
      <c r="D45" s="206">
        <v>5181311</v>
      </c>
      <c r="E45" s="49">
        <v>-57959</v>
      </c>
      <c r="F45" s="160">
        <v>0.96154399999999995</v>
      </c>
      <c r="G45" s="80">
        <v>45854</v>
      </c>
      <c r="H45" s="140">
        <v>5392462</v>
      </c>
      <c r="I45" s="49">
        <v>211151</v>
      </c>
      <c r="J45" s="160">
        <v>1.0017940000000001</v>
      </c>
      <c r="K45" s="51">
        <v>45954</v>
      </c>
      <c r="L45" s="112"/>
      <c r="M45" s="49"/>
      <c r="N45" s="160"/>
      <c r="O45" s="80"/>
      <c r="P45" s="112"/>
      <c r="Q45" s="49"/>
      <c r="R45" s="160"/>
      <c r="S45" s="80"/>
    </row>
    <row r="46" spans="1:24" x14ac:dyDescent="0.2">
      <c r="A46" s="11" t="s">
        <v>36</v>
      </c>
      <c r="B46" s="177" t="s">
        <v>149</v>
      </c>
      <c r="C46" s="175" t="s">
        <v>185</v>
      </c>
      <c r="D46" s="202">
        <v>4591935</v>
      </c>
      <c r="E46" s="20">
        <v>156270</v>
      </c>
      <c r="F46" s="154">
        <v>0.98899300000000001</v>
      </c>
      <c r="G46" s="76">
        <v>45839</v>
      </c>
      <c r="H46" s="134">
        <v>4786483</v>
      </c>
      <c r="I46" s="20">
        <v>123926</v>
      </c>
      <c r="J46" s="154">
        <v>1.01427</v>
      </c>
      <c r="K46" s="32">
        <v>45924</v>
      </c>
      <c r="L46" s="107"/>
      <c r="M46" s="20"/>
      <c r="N46" s="154"/>
      <c r="O46" s="4"/>
      <c r="P46" s="107"/>
      <c r="Q46" s="20"/>
      <c r="R46" s="154"/>
      <c r="S46" s="4"/>
      <c r="X46" s="116"/>
    </row>
    <row r="47" spans="1:24" x14ac:dyDescent="0.2">
      <c r="A47" s="54" t="s">
        <v>37</v>
      </c>
      <c r="B47" s="1" t="s">
        <v>149</v>
      </c>
      <c r="C47" s="175" t="s">
        <v>185</v>
      </c>
      <c r="D47" s="207">
        <v>2755161</v>
      </c>
      <c r="E47" s="55">
        <v>93762</v>
      </c>
      <c r="F47" s="161">
        <v>0.98899300000000001</v>
      </c>
      <c r="G47" s="86">
        <v>45839</v>
      </c>
      <c r="H47" s="138">
        <v>2871891</v>
      </c>
      <c r="I47" s="55">
        <v>74357</v>
      </c>
      <c r="J47" s="161">
        <v>1.01427</v>
      </c>
      <c r="K47" s="32">
        <v>45924</v>
      </c>
      <c r="L47" s="110"/>
      <c r="M47" s="55"/>
      <c r="N47" s="161"/>
      <c r="O47" s="59"/>
      <c r="P47" s="110"/>
      <c r="Q47" s="55"/>
      <c r="R47" s="161"/>
      <c r="S47" s="59"/>
    </row>
    <row r="48" spans="1:24" x14ac:dyDescent="0.2">
      <c r="A48" s="54" t="s">
        <v>63</v>
      </c>
      <c r="B48" s="1" t="s">
        <v>149</v>
      </c>
      <c r="C48" s="175" t="s">
        <v>185</v>
      </c>
      <c r="D48" s="207">
        <v>1836777</v>
      </c>
      <c r="E48" s="44">
        <v>62508</v>
      </c>
      <c r="F48" s="162">
        <v>0.98899300000000001</v>
      </c>
      <c r="G48" s="76">
        <v>45839</v>
      </c>
      <c r="H48" s="138">
        <v>1914595</v>
      </c>
      <c r="I48" s="44">
        <v>49570</v>
      </c>
      <c r="J48" s="162">
        <v>1.01427</v>
      </c>
      <c r="K48" s="32">
        <v>45924</v>
      </c>
      <c r="L48" s="110"/>
      <c r="M48" s="44"/>
      <c r="N48" s="162"/>
      <c r="O48" s="47"/>
      <c r="P48" s="110"/>
      <c r="Q48" s="44"/>
      <c r="R48" s="162"/>
      <c r="S48" s="47"/>
    </row>
    <row r="49" spans="1:20" x14ac:dyDescent="0.2">
      <c r="A49" s="54" t="s">
        <v>64</v>
      </c>
      <c r="B49" s="1" t="s">
        <v>149</v>
      </c>
      <c r="C49" s="175" t="s">
        <v>185</v>
      </c>
      <c r="D49" s="207">
        <v>459197</v>
      </c>
      <c r="E49" s="44">
        <v>15628</v>
      </c>
      <c r="F49" s="162">
        <v>0.98899300000000001</v>
      </c>
      <c r="G49" s="76">
        <v>45839</v>
      </c>
      <c r="H49" s="138">
        <v>478650</v>
      </c>
      <c r="I49" s="44">
        <v>12391</v>
      </c>
      <c r="J49" s="162">
        <v>1.01427</v>
      </c>
      <c r="K49" s="32">
        <v>45924</v>
      </c>
      <c r="L49" s="23"/>
      <c r="M49" s="44"/>
      <c r="N49" s="162"/>
      <c r="O49" s="47"/>
      <c r="Q49" s="44"/>
      <c r="R49" s="162"/>
      <c r="S49" s="47"/>
    </row>
    <row r="50" spans="1:20" x14ac:dyDescent="0.2">
      <c r="A50" s="12" t="s">
        <v>65</v>
      </c>
      <c r="B50" s="179" t="s">
        <v>149</v>
      </c>
      <c r="C50" s="175" t="s">
        <v>185</v>
      </c>
      <c r="D50" s="135">
        <v>367354</v>
      </c>
      <c r="E50" s="21">
        <v>12503</v>
      </c>
      <c r="F50" s="155">
        <v>0.98899300000000001</v>
      </c>
      <c r="G50" s="101">
        <v>45839</v>
      </c>
      <c r="H50" s="135">
        <v>382919</v>
      </c>
      <c r="I50" s="21">
        <v>9915</v>
      </c>
      <c r="J50" s="155">
        <v>1.01427</v>
      </c>
      <c r="K50" s="25">
        <v>45924</v>
      </c>
      <c r="L50" s="99"/>
      <c r="M50" s="21"/>
      <c r="N50" s="155"/>
      <c r="O50" s="5"/>
      <c r="P50" s="99"/>
      <c r="Q50" s="21"/>
      <c r="R50" s="155"/>
      <c r="S50" s="5"/>
    </row>
    <row r="51" spans="1:20" ht="12.6" x14ac:dyDescent="0.2">
      <c r="A51" s="11" t="s">
        <v>22</v>
      </c>
      <c r="B51" s="177" t="s">
        <v>150</v>
      </c>
      <c r="C51" s="175" t="s">
        <v>175</v>
      </c>
      <c r="D51" s="202">
        <v>1710324</v>
      </c>
      <c r="E51" s="20">
        <v>-46979</v>
      </c>
      <c r="F51" s="154">
        <v>0.89821899999999999</v>
      </c>
      <c r="G51" s="76">
        <v>45797</v>
      </c>
      <c r="H51" s="134">
        <v>2576700</v>
      </c>
      <c r="I51" s="20">
        <v>-59762</v>
      </c>
      <c r="J51" s="154">
        <v>0.87785899999999994</v>
      </c>
      <c r="K51" s="32">
        <v>45889</v>
      </c>
      <c r="L51" s="107">
        <v>2475971</v>
      </c>
      <c r="M51" s="20">
        <v>-100729</v>
      </c>
      <c r="N51" s="154">
        <v>0.84520499999999998</v>
      </c>
      <c r="O51" s="76">
        <v>45980</v>
      </c>
      <c r="P51" s="107"/>
      <c r="Q51" s="20"/>
      <c r="R51" s="154"/>
      <c r="S51" s="15"/>
      <c r="T51" s="94"/>
    </row>
    <row r="52" spans="1:20" x14ac:dyDescent="0.2">
      <c r="A52" s="13" t="s">
        <v>23</v>
      </c>
      <c r="B52" s="177" t="s">
        <v>150</v>
      </c>
      <c r="C52" s="175" t="s">
        <v>175</v>
      </c>
      <c r="D52" s="202">
        <v>856139</v>
      </c>
      <c r="E52" s="22">
        <v>-23517</v>
      </c>
      <c r="F52" s="157">
        <v>0.89821899999999999</v>
      </c>
      <c r="G52" s="76">
        <v>45797</v>
      </c>
      <c r="H52" s="134">
        <v>1289822</v>
      </c>
      <c r="I52" s="22">
        <v>-29915</v>
      </c>
      <c r="J52" s="157">
        <v>0.87785899999999994</v>
      </c>
      <c r="K52" s="32">
        <v>45889</v>
      </c>
      <c r="L52" s="107">
        <v>1239401</v>
      </c>
      <c r="M52" s="22">
        <v>-50421</v>
      </c>
      <c r="N52" s="157">
        <v>0.84520499999999998</v>
      </c>
      <c r="O52" s="76">
        <v>45980</v>
      </c>
      <c r="P52" s="107"/>
      <c r="Q52" s="22"/>
      <c r="R52" s="157"/>
      <c r="S52" s="17"/>
    </row>
    <row r="53" spans="1:20" x14ac:dyDescent="0.2">
      <c r="A53" s="13" t="s">
        <v>24</v>
      </c>
      <c r="B53" s="177" t="s">
        <v>150</v>
      </c>
      <c r="C53" s="175" t="s">
        <v>175</v>
      </c>
      <c r="D53" s="202">
        <v>1198204</v>
      </c>
      <c r="E53" s="22">
        <v>-32912</v>
      </c>
      <c r="F53" s="157">
        <v>0.89821899999999999</v>
      </c>
      <c r="G53" s="76">
        <v>45797</v>
      </c>
      <c r="H53" s="134">
        <v>1805163</v>
      </c>
      <c r="I53" s="22">
        <v>-41866</v>
      </c>
      <c r="J53" s="157">
        <v>0.87785899999999994</v>
      </c>
      <c r="K53" s="32">
        <v>45889</v>
      </c>
      <c r="L53" s="107">
        <v>1734595</v>
      </c>
      <c r="M53" s="22">
        <v>-70568</v>
      </c>
      <c r="N53" s="157">
        <v>0.84520499999999998</v>
      </c>
      <c r="O53" s="76">
        <v>45980</v>
      </c>
      <c r="P53" s="107"/>
      <c r="Q53" s="22"/>
      <c r="R53" s="157"/>
      <c r="S53" s="17"/>
    </row>
    <row r="54" spans="1:20" x14ac:dyDescent="0.2">
      <c r="A54" s="12" t="s">
        <v>25</v>
      </c>
      <c r="B54" s="12" t="s">
        <v>150</v>
      </c>
      <c r="C54" s="175" t="s">
        <v>175</v>
      </c>
      <c r="D54" s="111">
        <v>1368259</v>
      </c>
      <c r="E54" s="21">
        <v>-37584</v>
      </c>
      <c r="F54" s="155">
        <v>0.89821899999999999</v>
      </c>
      <c r="G54" s="77">
        <v>45797</v>
      </c>
      <c r="H54" s="111">
        <v>2061360</v>
      </c>
      <c r="I54" s="21">
        <v>-47810</v>
      </c>
      <c r="J54" s="155">
        <v>0.87785899999999994</v>
      </c>
      <c r="K54" s="32">
        <v>45889</v>
      </c>
      <c r="L54" s="164">
        <v>1980777</v>
      </c>
      <c r="M54" s="21">
        <v>-80583</v>
      </c>
      <c r="N54" s="155">
        <v>0.84520499999999998</v>
      </c>
      <c r="O54" s="77">
        <v>45980</v>
      </c>
      <c r="P54" s="111"/>
      <c r="Q54" s="21"/>
      <c r="R54" s="155"/>
      <c r="S54" s="16"/>
    </row>
    <row r="55" spans="1:20" x14ac:dyDescent="0.2">
      <c r="A55" s="11" t="s">
        <v>26</v>
      </c>
      <c r="B55" s="177" t="s">
        <v>151</v>
      </c>
      <c r="C55" s="175" t="s">
        <v>186</v>
      </c>
      <c r="D55" s="202">
        <v>2159436.5299999998</v>
      </c>
      <c r="E55" s="20">
        <v>47697.479999999981</v>
      </c>
      <c r="F55" s="154">
        <v>1.0014559999999999</v>
      </c>
      <c r="G55" s="76">
        <v>45807</v>
      </c>
      <c r="H55" s="134">
        <v>1716188.18</v>
      </c>
      <c r="I55" s="20">
        <v>-13260.689999999944</v>
      </c>
      <c r="J55" s="154">
        <v>0.99377700000000002</v>
      </c>
      <c r="K55" s="32">
        <v>45898</v>
      </c>
      <c r="L55" s="107"/>
      <c r="M55" s="20"/>
      <c r="N55" s="154"/>
      <c r="O55" s="15"/>
      <c r="P55" s="107"/>
      <c r="Q55" s="20"/>
      <c r="R55" s="154"/>
      <c r="S55" s="15"/>
    </row>
    <row r="56" spans="1:20" x14ac:dyDescent="0.2">
      <c r="A56" s="13" t="s">
        <v>27</v>
      </c>
      <c r="B56" s="177" t="s">
        <v>151</v>
      </c>
      <c r="C56" s="175" t="s">
        <v>186</v>
      </c>
      <c r="D56" s="202">
        <v>1180941.6100000001</v>
      </c>
      <c r="E56" s="22">
        <v>26084.560000000056</v>
      </c>
      <c r="F56" s="157">
        <v>1.0014559999999999</v>
      </c>
      <c r="G56" s="76">
        <v>45807</v>
      </c>
      <c r="H56" s="134">
        <v>938540.17</v>
      </c>
      <c r="I56" s="22">
        <v>-7252.0500000000466</v>
      </c>
      <c r="J56" s="157">
        <v>0.99377700000000002</v>
      </c>
      <c r="K56" s="32">
        <v>45898</v>
      </c>
      <c r="L56" s="107"/>
      <c r="M56" s="22"/>
      <c r="N56" s="157"/>
      <c r="O56" s="17"/>
      <c r="P56" s="107"/>
      <c r="Q56" s="22"/>
      <c r="R56" s="157"/>
      <c r="S56" s="17"/>
    </row>
    <row r="57" spans="1:20" x14ac:dyDescent="0.2">
      <c r="A57" s="13" t="s">
        <v>28</v>
      </c>
      <c r="B57" s="177" t="s">
        <v>151</v>
      </c>
      <c r="C57" s="175" t="s">
        <v>186</v>
      </c>
      <c r="D57" s="202">
        <v>843529.82</v>
      </c>
      <c r="E57" s="22">
        <v>18631.819999999949</v>
      </c>
      <c r="F57" s="157">
        <v>1.0014559999999999</v>
      </c>
      <c r="G57" s="76">
        <v>45807</v>
      </c>
      <c r="H57" s="134">
        <v>670385.93999999994</v>
      </c>
      <c r="I57" s="22">
        <v>-5180.0300000000279</v>
      </c>
      <c r="J57" s="157">
        <v>0.99377700000000002</v>
      </c>
      <c r="K57" s="32">
        <v>45898</v>
      </c>
      <c r="L57" s="107"/>
      <c r="M57" s="22"/>
      <c r="N57" s="157"/>
      <c r="O57" s="17"/>
      <c r="P57" s="107"/>
      <c r="Q57" s="22"/>
      <c r="R57" s="157"/>
      <c r="S57" s="17"/>
    </row>
    <row r="58" spans="1:20" x14ac:dyDescent="0.2">
      <c r="A58" s="13" t="s">
        <v>29</v>
      </c>
      <c r="B58" s="177" t="s">
        <v>151</v>
      </c>
      <c r="C58" s="175" t="s">
        <v>186</v>
      </c>
      <c r="D58" s="202">
        <v>168706.12</v>
      </c>
      <c r="E58" s="22">
        <v>3726.359999999986</v>
      </c>
      <c r="F58" s="157">
        <v>1.0014559999999999</v>
      </c>
      <c r="G58" s="76">
        <v>45807</v>
      </c>
      <c r="H58" s="134">
        <v>134077.34</v>
      </c>
      <c r="I58" s="22">
        <v>-1036.0100000000093</v>
      </c>
      <c r="J58" s="157">
        <v>0.99377700000000002</v>
      </c>
      <c r="K58" s="32">
        <v>45898</v>
      </c>
      <c r="L58" s="107"/>
      <c r="M58" s="22"/>
      <c r="N58" s="157"/>
      <c r="O58" s="17"/>
      <c r="P58" s="107"/>
      <c r="Q58" s="22"/>
      <c r="R58" s="157"/>
      <c r="S58" s="17"/>
    </row>
    <row r="59" spans="1:20" x14ac:dyDescent="0.2">
      <c r="A59" s="13" t="s">
        <v>30</v>
      </c>
      <c r="B59" s="177" t="s">
        <v>151</v>
      </c>
      <c r="C59" s="175" t="s">
        <v>186</v>
      </c>
      <c r="D59" s="202">
        <v>168706.12</v>
      </c>
      <c r="E59" s="22">
        <v>3726.359999999986</v>
      </c>
      <c r="F59" s="157">
        <v>1.0014559999999999</v>
      </c>
      <c r="G59" s="76">
        <v>45807</v>
      </c>
      <c r="H59" s="134">
        <v>134077.34</v>
      </c>
      <c r="I59" s="22">
        <v>-1036.0100000000093</v>
      </c>
      <c r="J59" s="157">
        <v>0.99377700000000002</v>
      </c>
      <c r="K59" s="32">
        <v>45898</v>
      </c>
      <c r="L59" s="107"/>
      <c r="M59" s="22"/>
      <c r="N59" s="157"/>
      <c r="O59" s="17"/>
      <c r="P59" s="107"/>
      <c r="Q59" s="22"/>
      <c r="R59" s="157"/>
      <c r="S59" s="17"/>
    </row>
    <row r="60" spans="1:20" x14ac:dyDescent="0.2">
      <c r="A60" s="13" t="s">
        <v>31</v>
      </c>
      <c r="B60" s="177" t="s">
        <v>151</v>
      </c>
      <c r="C60" s="175" t="s">
        <v>186</v>
      </c>
      <c r="D60" s="202">
        <v>674823.81</v>
      </c>
      <c r="E60" s="22">
        <v>14905.45000000007</v>
      </c>
      <c r="F60" s="157">
        <v>1.0014559999999999</v>
      </c>
      <c r="G60" s="76">
        <v>45807</v>
      </c>
      <c r="H60" s="134">
        <v>536308.71</v>
      </c>
      <c r="I60" s="22">
        <v>-4144.0200000000186</v>
      </c>
      <c r="J60" s="157">
        <v>0.99377700000000002</v>
      </c>
      <c r="K60" s="32">
        <v>45898</v>
      </c>
      <c r="L60" s="107"/>
      <c r="M60" s="22"/>
      <c r="N60" s="157"/>
      <c r="O60" s="17"/>
      <c r="P60" s="107"/>
      <c r="Q60" s="22"/>
      <c r="R60" s="157"/>
      <c r="S60" s="17"/>
    </row>
    <row r="61" spans="1:20" x14ac:dyDescent="0.2">
      <c r="A61" s="12" t="s">
        <v>32</v>
      </c>
      <c r="B61" s="178" t="s">
        <v>151</v>
      </c>
      <c r="C61" s="175" t="s">
        <v>186</v>
      </c>
      <c r="D61" s="111">
        <v>303670.74</v>
      </c>
      <c r="E61" s="21">
        <v>6707.4599999999627</v>
      </c>
      <c r="F61" s="155">
        <v>1.0014559999999999</v>
      </c>
      <c r="G61" s="77">
        <v>45807</v>
      </c>
      <c r="H61" s="111">
        <v>241338.95</v>
      </c>
      <c r="I61" s="21">
        <v>-1864.7999999999884</v>
      </c>
      <c r="J61" s="155">
        <v>0.99377700000000002</v>
      </c>
      <c r="K61" s="32">
        <v>45898</v>
      </c>
      <c r="L61" s="110"/>
      <c r="M61" s="21"/>
      <c r="N61" s="155"/>
      <c r="O61" s="16"/>
      <c r="P61" s="110"/>
      <c r="Q61" s="21"/>
      <c r="R61" s="155"/>
      <c r="S61" s="17"/>
    </row>
    <row r="62" spans="1:20" x14ac:dyDescent="0.2">
      <c r="A62" s="11" t="s">
        <v>45</v>
      </c>
      <c r="B62" s="177" t="s">
        <v>152</v>
      </c>
      <c r="C62" s="175" t="s">
        <v>187</v>
      </c>
      <c r="D62" s="202">
        <v>665442</v>
      </c>
      <c r="E62" s="20">
        <v>15712</v>
      </c>
      <c r="F62" s="154">
        <v>1.072681</v>
      </c>
      <c r="G62" s="77">
        <v>45807</v>
      </c>
      <c r="H62" s="134">
        <v>635015</v>
      </c>
      <c r="I62" s="20">
        <v>21017</v>
      </c>
      <c r="J62" s="154">
        <v>1.1104609999999999</v>
      </c>
      <c r="K62" s="32">
        <v>45898</v>
      </c>
      <c r="L62" s="107">
        <v>633492</v>
      </c>
      <c r="M62" s="20">
        <v>15810</v>
      </c>
      <c r="N62" s="154">
        <v>1.140493</v>
      </c>
      <c r="O62" s="76">
        <v>45986</v>
      </c>
      <c r="P62" s="107"/>
      <c r="Q62" s="20"/>
      <c r="R62" s="154"/>
      <c r="S62" s="15"/>
    </row>
    <row r="63" spans="1:20" x14ac:dyDescent="0.2">
      <c r="A63" s="13" t="s">
        <v>46</v>
      </c>
      <c r="B63" s="177" t="s">
        <v>152</v>
      </c>
      <c r="C63" s="175" t="s">
        <v>187</v>
      </c>
      <c r="D63" s="202">
        <v>332711</v>
      </c>
      <c r="E63" s="22">
        <v>7856</v>
      </c>
      <c r="F63" s="157">
        <v>1.072681</v>
      </c>
      <c r="G63" s="77">
        <v>45807</v>
      </c>
      <c r="H63" s="134">
        <v>317497</v>
      </c>
      <c r="I63" s="22">
        <v>10509</v>
      </c>
      <c r="J63" s="157">
        <v>1.1104609999999999</v>
      </c>
      <c r="K63" s="32">
        <v>45898</v>
      </c>
      <c r="L63" s="107">
        <v>316734</v>
      </c>
      <c r="M63" s="22">
        <v>7904</v>
      </c>
      <c r="N63" s="157">
        <v>1.140493</v>
      </c>
      <c r="O63" s="76">
        <v>45986</v>
      </c>
      <c r="P63" s="107"/>
      <c r="Q63" s="22"/>
      <c r="R63" s="157"/>
      <c r="S63" s="17"/>
    </row>
    <row r="64" spans="1:20" x14ac:dyDescent="0.2">
      <c r="A64" s="13" t="s">
        <v>47</v>
      </c>
      <c r="B64" s="177" t="s">
        <v>152</v>
      </c>
      <c r="C64" s="175" t="s">
        <v>187</v>
      </c>
      <c r="D64" s="202">
        <v>1330884</v>
      </c>
      <c r="E64" s="22">
        <v>31426</v>
      </c>
      <c r="F64" s="157">
        <v>1.072681</v>
      </c>
      <c r="G64" s="77">
        <v>45807</v>
      </c>
      <c r="H64" s="134">
        <v>1270020</v>
      </c>
      <c r="I64" s="22">
        <v>42027</v>
      </c>
      <c r="J64" s="157">
        <v>1.1104609999999999</v>
      </c>
      <c r="K64" s="32">
        <v>45898</v>
      </c>
      <c r="L64" s="107">
        <v>1266978</v>
      </c>
      <c r="M64" s="22">
        <v>31625</v>
      </c>
      <c r="N64" s="157">
        <v>1.140493</v>
      </c>
      <c r="O64" s="76">
        <v>45986</v>
      </c>
      <c r="P64" s="107"/>
      <c r="Q64" s="22"/>
      <c r="R64" s="157"/>
      <c r="S64" s="17"/>
    </row>
    <row r="65" spans="1:23" x14ac:dyDescent="0.2">
      <c r="A65" s="13" t="s">
        <v>48</v>
      </c>
      <c r="B65" s="177" t="s">
        <v>152</v>
      </c>
      <c r="C65" s="175" t="s">
        <v>187</v>
      </c>
      <c r="D65" s="202">
        <v>998154</v>
      </c>
      <c r="E65" s="22">
        <v>23569</v>
      </c>
      <c r="F65" s="157">
        <v>1.072681</v>
      </c>
      <c r="G65" s="77">
        <v>45807</v>
      </c>
      <c r="H65" s="134">
        <v>952507</v>
      </c>
      <c r="I65" s="22">
        <v>31521</v>
      </c>
      <c r="J65" s="157">
        <v>1.1104609999999999</v>
      </c>
      <c r="K65" s="32">
        <v>45898</v>
      </c>
      <c r="L65" s="107">
        <v>950226</v>
      </c>
      <c r="M65" s="22">
        <v>23719</v>
      </c>
      <c r="N65" s="157">
        <v>1.140493</v>
      </c>
      <c r="O65" s="76">
        <v>45986</v>
      </c>
      <c r="P65" s="107"/>
      <c r="Q65" s="22"/>
      <c r="R65" s="157"/>
      <c r="S65" s="17"/>
    </row>
    <row r="66" spans="1:23" x14ac:dyDescent="0.2">
      <c r="A66" s="13" t="s">
        <v>49</v>
      </c>
      <c r="B66" s="177" t="s">
        <v>152</v>
      </c>
      <c r="C66" s="175" t="s">
        <v>187</v>
      </c>
      <c r="D66" s="202">
        <v>249544</v>
      </c>
      <c r="E66" s="22">
        <v>5894</v>
      </c>
      <c r="F66" s="157">
        <v>1.072681</v>
      </c>
      <c r="G66" s="77">
        <v>45807</v>
      </c>
      <c r="H66" s="134">
        <v>238129</v>
      </c>
      <c r="I66" s="22">
        <v>7878</v>
      </c>
      <c r="J66" s="157">
        <v>1.1104609999999999</v>
      </c>
      <c r="K66" s="32">
        <v>45898</v>
      </c>
      <c r="L66" s="107">
        <v>237558</v>
      </c>
      <c r="M66" s="22">
        <v>5930</v>
      </c>
      <c r="N66" s="157">
        <v>1.140493</v>
      </c>
      <c r="O66" s="76">
        <v>45986</v>
      </c>
      <c r="P66" s="107"/>
      <c r="Q66" s="22"/>
      <c r="R66" s="157"/>
      <c r="S66" s="17"/>
    </row>
    <row r="67" spans="1:23" x14ac:dyDescent="0.2">
      <c r="A67" s="12" t="s">
        <v>50</v>
      </c>
      <c r="B67" s="178" t="s">
        <v>152</v>
      </c>
      <c r="C67" s="175" t="s">
        <v>187</v>
      </c>
      <c r="D67" s="203">
        <v>332711</v>
      </c>
      <c r="E67" s="24">
        <v>7856</v>
      </c>
      <c r="F67" s="155">
        <v>1.072681</v>
      </c>
      <c r="G67" s="77">
        <v>45807</v>
      </c>
      <c r="H67" s="111">
        <v>317497</v>
      </c>
      <c r="I67" s="21">
        <v>10509</v>
      </c>
      <c r="J67" s="155">
        <v>1.1104609999999999</v>
      </c>
      <c r="K67" s="25">
        <v>45898</v>
      </c>
      <c r="L67" s="110">
        <v>316734</v>
      </c>
      <c r="M67" s="21">
        <v>7904</v>
      </c>
      <c r="N67" s="155">
        <v>1.140493</v>
      </c>
      <c r="O67" s="101">
        <v>45986</v>
      </c>
      <c r="P67" s="110"/>
      <c r="Q67" s="21"/>
      <c r="R67" s="155"/>
      <c r="S67" s="16"/>
    </row>
    <row r="68" spans="1:23" x14ac:dyDescent="0.2">
      <c r="A68" s="11" t="s">
        <v>62</v>
      </c>
      <c r="B68" s="177" t="s">
        <v>153</v>
      </c>
      <c r="C68" s="175" t="s">
        <v>176</v>
      </c>
      <c r="D68" s="202">
        <v>254664</v>
      </c>
      <c r="E68" s="20">
        <v>259</v>
      </c>
      <c r="F68" s="154">
        <v>1.002942</v>
      </c>
      <c r="G68" s="77">
        <v>45807</v>
      </c>
      <c r="H68" s="134">
        <v>249856</v>
      </c>
      <c r="I68" s="20">
        <v>5029</v>
      </c>
      <c r="J68" s="154">
        <v>1.0238069999999999</v>
      </c>
      <c r="K68" s="32">
        <v>45898</v>
      </c>
      <c r="L68" s="107">
        <v>251122</v>
      </c>
      <c r="M68" s="20">
        <v>4373</v>
      </c>
      <c r="N68" s="154">
        <v>1.0419499999999999</v>
      </c>
      <c r="O68" s="166">
        <v>45986</v>
      </c>
      <c r="P68" s="107"/>
      <c r="Q68" s="20"/>
      <c r="R68" s="154"/>
      <c r="S68" s="15"/>
    </row>
    <row r="69" spans="1:23" x14ac:dyDescent="0.2">
      <c r="A69" s="13" t="s">
        <v>51</v>
      </c>
      <c r="B69" s="177" t="s">
        <v>153</v>
      </c>
      <c r="C69" s="175" t="s">
        <v>176</v>
      </c>
      <c r="D69" s="208">
        <v>1528003</v>
      </c>
      <c r="E69" s="22">
        <v>1556</v>
      </c>
      <c r="F69" s="157">
        <v>1.002942</v>
      </c>
      <c r="G69" s="77">
        <v>45807</v>
      </c>
      <c r="H69" s="146">
        <v>1499140</v>
      </c>
      <c r="I69" s="22">
        <v>30172</v>
      </c>
      <c r="J69" s="157">
        <v>1.0238069999999999</v>
      </c>
      <c r="K69" s="32">
        <v>45898</v>
      </c>
      <c r="L69" s="113">
        <v>1506732</v>
      </c>
      <c r="M69" s="22">
        <v>26237</v>
      </c>
      <c r="N69" s="157">
        <v>1.0419499999999999</v>
      </c>
      <c r="O69" s="76">
        <v>45986</v>
      </c>
      <c r="P69" s="113"/>
      <c r="Q69" s="22"/>
      <c r="R69" s="157"/>
      <c r="S69" s="17"/>
    </row>
    <row r="70" spans="1:23" x14ac:dyDescent="0.2">
      <c r="A70" s="13" t="s">
        <v>52</v>
      </c>
      <c r="B70" s="177" t="s">
        <v>153</v>
      </c>
      <c r="C70" s="175" t="s">
        <v>176</v>
      </c>
      <c r="D70" s="202">
        <v>254664</v>
      </c>
      <c r="E70" s="22">
        <v>259</v>
      </c>
      <c r="F70" s="157">
        <v>1.002942</v>
      </c>
      <c r="G70" s="77">
        <v>45807</v>
      </c>
      <c r="H70" s="134">
        <v>249856</v>
      </c>
      <c r="I70" s="22">
        <v>5029</v>
      </c>
      <c r="J70" s="157">
        <v>1.0238069999999999</v>
      </c>
      <c r="K70" s="32">
        <v>45898</v>
      </c>
      <c r="L70" s="107">
        <v>251122</v>
      </c>
      <c r="M70" s="22">
        <v>4373</v>
      </c>
      <c r="N70" s="157">
        <v>1.0419499999999999</v>
      </c>
      <c r="O70" s="76">
        <v>45986</v>
      </c>
      <c r="P70" s="107"/>
      <c r="Q70" s="22"/>
      <c r="R70" s="157"/>
      <c r="S70" s="17"/>
    </row>
    <row r="71" spans="1:23" x14ac:dyDescent="0.2">
      <c r="A71" s="12" t="s">
        <v>53</v>
      </c>
      <c r="B71" s="178" t="s">
        <v>153</v>
      </c>
      <c r="C71" s="175" t="s">
        <v>176</v>
      </c>
      <c r="D71" s="111">
        <v>509319</v>
      </c>
      <c r="E71" s="24">
        <v>518</v>
      </c>
      <c r="F71" s="159">
        <v>1.002942</v>
      </c>
      <c r="G71" s="77">
        <v>45807</v>
      </c>
      <c r="H71" s="111">
        <v>499697</v>
      </c>
      <c r="I71" s="24">
        <v>10057</v>
      </c>
      <c r="J71" s="155">
        <v>1.0238069999999999</v>
      </c>
      <c r="K71" s="25">
        <v>45898</v>
      </c>
      <c r="L71" s="114">
        <v>502228</v>
      </c>
      <c r="M71" s="24">
        <v>8745</v>
      </c>
      <c r="N71" s="159">
        <v>1.0419499999999999</v>
      </c>
      <c r="O71" s="101">
        <v>45986</v>
      </c>
      <c r="P71" s="114"/>
      <c r="Q71" s="24"/>
      <c r="R71" s="159"/>
      <c r="S71" s="16"/>
    </row>
    <row r="72" spans="1:23" x14ac:dyDescent="0.2">
      <c r="A72" s="11" t="s">
        <v>104</v>
      </c>
      <c r="B72" s="177" t="s">
        <v>154</v>
      </c>
      <c r="C72" s="175" t="s">
        <v>177</v>
      </c>
      <c r="D72" s="202">
        <v>5230346</v>
      </c>
      <c r="E72" s="20">
        <v>103200</v>
      </c>
      <c r="F72" s="154">
        <v>1.043477</v>
      </c>
      <c r="G72" s="187">
        <v>45862</v>
      </c>
      <c r="H72" s="134">
        <v>5715255</v>
      </c>
      <c r="I72" s="22">
        <v>188074</v>
      </c>
      <c r="J72" s="154">
        <v>1.0780240000000001</v>
      </c>
      <c r="K72" s="32">
        <v>45930</v>
      </c>
      <c r="L72" s="115"/>
      <c r="M72" s="26"/>
      <c r="N72" s="154"/>
      <c r="O72" s="4"/>
      <c r="P72" s="115"/>
      <c r="Q72" s="26"/>
      <c r="R72" s="154"/>
      <c r="S72" s="4"/>
      <c r="U72" s="2"/>
      <c r="V72" s="23"/>
      <c r="W72" s="2"/>
    </row>
    <row r="73" spans="1:23" x14ac:dyDescent="0.2">
      <c r="A73" s="11" t="s">
        <v>105</v>
      </c>
      <c r="B73" s="177" t="s">
        <v>154</v>
      </c>
      <c r="C73" s="175" t="s">
        <v>177</v>
      </c>
      <c r="D73" s="202">
        <v>4828008</v>
      </c>
      <c r="E73" s="22">
        <v>95259</v>
      </c>
      <c r="F73" s="157">
        <v>1.043477</v>
      </c>
      <c r="G73" s="187">
        <v>45862</v>
      </c>
      <c r="H73" s="134">
        <v>5275616</v>
      </c>
      <c r="I73" s="22">
        <v>173607</v>
      </c>
      <c r="J73" s="157">
        <v>1.0780240000000001</v>
      </c>
      <c r="K73" s="81">
        <v>45930</v>
      </c>
      <c r="L73" s="107"/>
      <c r="M73" s="28"/>
      <c r="N73" s="157"/>
      <c r="O73" s="3"/>
      <c r="P73" s="107"/>
      <c r="Q73" s="28"/>
      <c r="R73" s="157"/>
      <c r="S73" s="3"/>
      <c r="U73" s="2"/>
      <c r="V73" s="23"/>
      <c r="W73" s="2"/>
    </row>
    <row r="74" spans="1:23" x14ac:dyDescent="0.2">
      <c r="A74" s="11" t="s">
        <v>106</v>
      </c>
      <c r="B74" s="177" t="s">
        <v>154</v>
      </c>
      <c r="C74" s="175" t="s">
        <v>177</v>
      </c>
      <c r="D74" s="202">
        <v>28968066</v>
      </c>
      <c r="E74" s="22">
        <v>571566</v>
      </c>
      <c r="F74" s="157">
        <v>1.043477</v>
      </c>
      <c r="G74" s="187">
        <v>45862</v>
      </c>
      <c r="H74" s="134">
        <v>31653714</v>
      </c>
      <c r="I74" s="22">
        <v>1041639</v>
      </c>
      <c r="J74" s="157">
        <v>1.0780240000000001</v>
      </c>
      <c r="K74" s="81">
        <v>45930</v>
      </c>
      <c r="L74" s="107"/>
      <c r="M74" s="28"/>
      <c r="N74" s="157"/>
      <c r="O74" s="3"/>
      <c r="P74" s="107"/>
      <c r="Q74" s="28"/>
      <c r="R74" s="157"/>
      <c r="S74" s="3"/>
      <c r="U74" s="2"/>
      <c r="V74" s="23"/>
      <c r="W74" s="2"/>
    </row>
    <row r="75" spans="1:23" x14ac:dyDescent="0.2">
      <c r="A75" s="11" t="s">
        <v>108</v>
      </c>
      <c r="B75" s="177" t="s">
        <v>154</v>
      </c>
      <c r="C75" s="175" t="s">
        <v>177</v>
      </c>
      <c r="D75" s="202">
        <v>11104424</v>
      </c>
      <c r="E75" s="22">
        <v>219099</v>
      </c>
      <c r="F75" s="157">
        <v>1.043477</v>
      </c>
      <c r="G75" s="187">
        <v>45862</v>
      </c>
      <c r="H75" s="134">
        <v>12133924</v>
      </c>
      <c r="I75" s="22">
        <v>399296</v>
      </c>
      <c r="J75" s="157">
        <v>1.0780240000000001</v>
      </c>
      <c r="K75" s="81">
        <v>45930</v>
      </c>
      <c r="L75" s="107"/>
      <c r="M75" s="28"/>
      <c r="N75" s="157"/>
      <c r="O75" s="3"/>
      <c r="P75" s="107"/>
      <c r="Q75" s="28"/>
      <c r="R75" s="157"/>
      <c r="S75" s="3"/>
      <c r="U75" s="2"/>
      <c r="V75" s="23"/>
      <c r="W75" s="2"/>
    </row>
    <row r="76" spans="1:23" x14ac:dyDescent="0.2">
      <c r="A76" s="11" t="s">
        <v>109</v>
      </c>
      <c r="B76" s="177" t="s">
        <v>154</v>
      </c>
      <c r="C76" s="175" t="s">
        <v>177</v>
      </c>
      <c r="D76" s="202">
        <v>4425678</v>
      </c>
      <c r="E76" s="22">
        <v>87323</v>
      </c>
      <c r="F76" s="157">
        <v>1.043477</v>
      </c>
      <c r="G76" s="187">
        <v>45862</v>
      </c>
      <c r="H76" s="134">
        <v>4835986</v>
      </c>
      <c r="I76" s="22">
        <v>159140</v>
      </c>
      <c r="J76" s="157">
        <v>1.0780240000000001</v>
      </c>
      <c r="K76" s="81">
        <v>45930</v>
      </c>
      <c r="L76" s="107"/>
      <c r="M76" s="28"/>
      <c r="N76" s="157"/>
      <c r="O76" s="3"/>
      <c r="P76" s="107"/>
      <c r="Q76" s="28"/>
      <c r="R76" s="157"/>
      <c r="S76" s="3"/>
      <c r="U76" s="2"/>
      <c r="V76" s="23"/>
      <c r="W76" s="2"/>
    </row>
    <row r="77" spans="1:23" x14ac:dyDescent="0.2">
      <c r="A77" s="11" t="s">
        <v>110</v>
      </c>
      <c r="B77" s="177" t="s">
        <v>154</v>
      </c>
      <c r="C77" s="175" t="s">
        <v>177</v>
      </c>
      <c r="D77" s="202">
        <v>1770271</v>
      </c>
      <c r="E77" s="22">
        <v>34930</v>
      </c>
      <c r="F77" s="157">
        <v>1.043477</v>
      </c>
      <c r="G77" s="187">
        <v>45862</v>
      </c>
      <c r="H77" s="134">
        <v>1934395</v>
      </c>
      <c r="I77" s="22">
        <v>63657</v>
      </c>
      <c r="J77" s="157">
        <v>1.0780240000000001</v>
      </c>
      <c r="K77" s="81">
        <v>45930</v>
      </c>
      <c r="L77" s="107"/>
      <c r="M77" s="28"/>
      <c r="N77" s="157"/>
      <c r="O77" s="3"/>
      <c r="P77" s="107"/>
      <c r="Q77" s="28"/>
      <c r="R77" s="157"/>
      <c r="S77" s="3"/>
      <c r="U77" s="2"/>
      <c r="V77" s="23"/>
      <c r="W77" s="2"/>
    </row>
    <row r="78" spans="1:23" x14ac:dyDescent="0.2">
      <c r="A78" s="11" t="s">
        <v>111</v>
      </c>
      <c r="B78" s="177" t="s">
        <v>154</v>
      </c>
      <c r="C78" s="175" t="s">
        <v>177</v>
      </c>
      <c r="D78" s="202">
        <v>241404</v>
      </c>
      <c r="E78" s="22">
        <v>4764</v>
      </c>
      <c r="F78" s="157">
        <v>1.043477</v>
      </c>
      <c r="G78" s="187">
        <v>45862</v>
      </c>
      <c r="H78" s="134">
        <v>263784</v>
      </c>
      <c r="I78" s="22">
        <v>8680</v>
      </c>
      <c r="J78" s="157">
        <v>1.0780240000000001</v>
      </c>
      <c r="K78" s="81">
        <v>45930</v>
      </c>
      <c r="L78" s="107"/>
      <c r="M78" s="28"/>
      <c r="N78" s="157"/>
      <c r="O78" s="3"/>
      <c r="P78" s="107"/>
      <c r="Q78" s="28"/>
      <c r="R78" s="157"/>
      <c r="S78" s="3"/>
      <c r="U78" s="2"/>
      <c r="V78" s="23"/>
      <c r="W78" s="2"/>
    </row>
    <row r="79" spans="1:23" x14ac:dyDescent="0.2">
      <c r="A79" s="13" t="s">
        <v>112</v>
      </c>
      <c r="B79" s="184" t="s">
        <v>154</v>
      </c>
      <c r="C79" s="175" t="s">
        <v>177</v>
      </c>
      <c r="D79" s="209">
        <v>563269</v>
      </c>
      <c r="E79" s="22">
        <v>11114</v>
      </c>
      <c r="F79" s="157">
        <v>1.043477</v>
      </c>
      <c r="G79" s="187">
        <v>45862</v>
      </c>
      <c r="H79" s="134">
        <v>615489</v>
      </c>
      <c r="I79" s="22">
        <v>20253</v>
      </c>
      <c r="J79" s="157">
        <v>1.0780240000000001</v>
      </c>
      <c r="K79" s="81">
        <v>45930</v>
      </c>
      <c r="L79" s="107"/>
      <c r="M79" s="28"/>
      <c r="N79" s="157"/>
      <c r="O79" s="3"/>
      <c r="P79" s="107"/>
      <c r="Q79" s="28"/>
      <c r="R79" s="157"/>
      <c r="S79" s="3"/>
      <c r="U79" s="2"/>
      <c r="V79" s="23"/>
      <c r="W79" s="2"/>
    </row>
    <row r="80" spans="1:23" x14ac:dyDescent="0.2">
      <c r="A80" s="67" t="s">
        <v>107</v>
      </c>
      <c r="B80" s="186" t="s">
        <v>155</v>
      </c>
      <c r="C80" s="175" t="e">
        <v>#N/A</v>
      </c>
      <c r="D80" s="204">
        <v>83925833</v>
      </c>
      <c r="E80" s="21">
        <v>1651194</v>
      </c>
      <c r="F80" s="155">
        <v>1.0433539999999999</v>
      </c>
      <c r="G80" s="192">
        <v>45862</v>
      </c>
      <c r="H80" s="193">
        <v>91684358</v>
      </c>
      <c r="I80" s="24">
        <v>3009167</v>
      </c>
      <c r="J80" s="155">
        <v>1.077799</v>
      </c>
      <c r="K80" s="25">
        <v>45930</v>
      </c>
      <c r="L80" s="117"/>
      <c r="M80" s="28"/>
      <c r="N80" s="157"/>
      <c r="O80" s="3"/>
      <c r="P80" s="117"/>
      <c r="Q80" s="28"/>
      <c r="R80" s="157"/>
      <c r="S80" s="3"/>
      <c r="U80" s="2"/>
      <c r="V80" s="23"/>
      <c r="W80" s="2"/>
    </row>
    <row r="81" spans="1:23" x14ac:dyDescent="0.2">
      <c r="A81" s="11" t="s">
        <v>113</v>
      </c>
      <c r="B81" s="177" t="s">
        <v>158</v>
      </c>
      <c r="C81" s="175" t="e">
        <v>#N/A</v>
      </c>
      <c r="D81" s="202">
        <v>10402882</v>
      </c>
      <c r="E81" s="20">
        <v>40062</v>
      </c>
      <c r="F81" s="154">
        <v>0.88003600000000004</v>
      </c>
      <c r="G81" s="187">
        <v>45862</v>
      </c>
      <c r="H81" s="134">
        <v>10369872</v>
      </c>
      <c r="I81" s="20">
        <v>720606</v>
      </c>
      <c r="J81" s="154">
        <v>0.95648500000000003</v>
      </c>
      <c r="K81" s="32">
        <v>45930</v>
      </c>
      <c r="L81" s="107"/>
      <c r="M81" s="26"/>
      <c r="N81" s="154"/>
      <c r="O81" s="4"/>
      <c r="P81" s="107"/>
      <c r="Q81" s="26"/>
      <c r="R81" s="154"/>
      <c r="S81" s="4"/>
      <c r="U81" s="2"/>
      <c r="V81" s="23"/>
      <c r="W81" s="2"/>
    </row>
    <row r="82" spans="1:23" x14ac:dyDescent="0.2">
      <c r="A82" s="11" t="s">
        <v>114</v>
      </c>
      <c r="B82" s="177" t="s">
        <v>158</v>
      </c>
      <c r="C82" s="175" t="s">
        <v>178</v>
      </c>
      <c r="D82" s="202">
        <v>6711530</v>
      </c>
      <c r="E82" s="22">
        <v>25848</v>
      </c>
      <c r="F82" s="157">
        <v>0.88003600000000004</v>
      </c>
      <c r="G82" s="187">
        <v>45862</v>
      </c>
      <c r="H82" s="134">
        <v>6690230</v>
      </c>
      <c r="I82" s="22">
        <v>464905</v>
      </c>
      <c r="J82" s="157">
        <v>0.95648500000000003</v>
      </c>
      <c r="K82" s="81">
        <v>45930</v>
      </c>
      <c r="L82" s="107"/>
      <c r="M82" s="28"/>
      <c r="N82" s="157"/>
      <c r="O82" s="3"/>
      <c r="P82" s="107"/>
      <c r="Q82" s="28"/>
      <c r="R82" s="157"/>
      <c r="S82" s="3"/>
      <c r="U82" s="2"/>
      <c r="V82" s="23"/>
      <c r="W82" s="2"/>
    </row>
    <row r="83" spans="1:23" x14ac:dyDescent="0.2">
      <c r="A83" s="11" t="s">
        <v>115</v>
      </c>
      <c r="B83" s="177" t="s">
        <v>158</v>
      </c>
      <c r="C83" s="175" t="s">
        <v>178</v>
      </c>
      <c r="D83" s="202">
        <v>3355760</v>
      </c>
      <c r="E83" s="22">
        <v>12923</v>
      </c>
      <c r="F83" s="157">
        <v>0.88003600000000004</v>
      </c>
      <c r="G83" s="187">
        <v>45862</v>
      </c>
      <c r="H83" s="134">
        <v>3345111</v>
      </c>
      <c r="I83" s="22">
        <v>232453</v>
      </c>
      <c r="J83" s="157">
        <v>0.95648500000000003</v>
      </c>
      <c r="K83" s="81">
        <v>45930</v>
      </c>
      <c r="L83" s="107"/>
      <c r="M83" s="28"/>
      <c r="N83" s="157"/>
      <c r="O83" s="3"/>
      <c r="P83" s="107"/>
      <c r="Q83" s="28"/>
      <c r="R83" s="157"/>
      <c r="S83" s="3"/>
      <c r="U83" s="2"/>
      <c r="V83" s="23"/>
      <c r="W83" s="2"/>
    </row>
    <row r="84" spans="1:23" x14ac:dyDescent="0.2">
      <c r="A84" s="12" t="s">
        <v>116</v>
      </c>
      <c r="B84" s="179" t="s">
        <v>158</v>
      </c>
      <c r="C84" s="175" t="s">
        <v>178</v>
      </c>
      <c r="D84" s="204">
        <v>335574</v>
      </c>
      <c r="E84" s="24">
        <v>1293</v>
      </c>
      <c r="F84" s="155">
        <v>0.88003600000000004</v>
      </c>
      <c r="G84" s="187">
        <v>45862</v>
      </c>
      <c r="H84" s="135">
        <v>334508</v>
      </c>
      <c r="I84" s="24">
        <v>23245</v>
      </c>
      <c r="J84" s="155">
        <v>0.95648500000000003</v>
      </c>
      <c r="K84" s="25">
        <v>45930</v>
      </c>
      <c r="L84" s="109"/>
      <c r="M84" s="27"/>
      <c r="N84" s="155"/>
      <c r="O84" s="5"/>
      <c r="P84" s="109"/>
      <c r="Q84" s="27"/>
      <c r="R84" s="155"/>
      <c r="S84" s="5"/>
      <c r="U84" s="2"/>
      <c r="V84" s="23"/>
      <c r="W84" s="2"/>
    </row>
    <row r="85" spans="1:23" x14ac:dyDescent="0.2">
      <c r="A85" s="11" t="s">
        <v>117</v>
      </c>
      <c r="B85" s="177" t="s">
        <v>159</v>
      </c>
      <c r="C85" s="175" t="s">
        <v>179</v>
      </c>
      <c r="D85" s="202">
        <v>1065801</v>
      </c>
      <c r="E85" s="22">
        <v>52152</v>
      </c>
      <c r="F85" s="154">
        <v>1.0779799999999999</v>
      </c>
      <c r="G85" s="166">
        <v>45832</v>
      </c>
      <c r="H85" s="134">
        <v>1462463</v>
      </c>
      <c r="I85" s="20">
        <v>63080</v>
      </c>
      <c r="J85" s="154">
        <v>1.126571</v>
      </c>
      <c r="K85" s="32">
        <v>45915</v>
      </c>
      <c r="L85" s="107"/>
      <c r="M85" s="26"/>
      <c r="N85" s="154"/>
      <c r="O85" s="4"/>
      <c r="P85" s="107"/>
      <c r="Q85" s="26"/>
      <c r="R85" s="154"/>
      <c r="S85" s="4"/>
      <c r="U85" s="2"/>
      <c r="V85" s="23"/>
      <c r="W85" s="2"/>
    </row>
    <row r="86" spans="1:23" x14ac:dyDescent="0.2">
      <c r="A86" s="11" t="s">
        <v>118</v>
      </c>
      <c r="B86" s="177" t="s">
        <v>159</v>
      </c>
      <c r="C86" s="175" t="s">
        <v>179</v>
      </c>
      <c r="D86" s="202">
        <v>1370319</v>
      </c>
      <c r="E86" s="22">
        <v>67051</v>
      </c>
      <c r="F86" s="157">
        <v>1.0779799999999999</v>
      </c>
      <c r="G86" s="76">
        <v>45832</v>
      </c>
      <c r="H86" s="134">
        <v>1880308</v>
      </c>
      <c r="I86" s="22">
        <v>81101</v>
      </c>
      <c r="J86" s="157">
        <v>1.126571</v>
      </c>
      <c r="K86" s="81">
        <v>45915</v>
      </c>
      <c r="L86" s="107"/>
      <c r="M86" s="28"/>
      <c r="N86" s="157"/>
      <c r="O86" s="3"/>
      <c r="P86" s="107"/>
      <c r="Q86" s="28"/>
      <c r="R86" s="157"/>
      <c r="S86" s="3"/>
      <c r="U86" s="2"/>
      <c r="V86" s="23"/>
      <c r="W86" s="2"/>
    </row>
    <row r="87" spans="1:23" x14ac:dyDescent="0.2">
      <c r="A87" s="11" t="s">
        <v>119</v>
      </c>
      <c r="B87" s="177" t="s">
        <v>159</v>
      </c>
      <c r="C87" s="175" t="s">
        <v>179</v>
      </c>
      <c r="D87" s="202">
        <v>30451500</v>
      </c>
      <c r="E87" s="22">
        <v>1490001</v>
      </c>
      <c r="F87" s="157">
        <v>1.0779799999999999</v>
      </c>
      <c r="G87" s="76">
        <v>45832</v>
      </c>
      <c r="H87" s="134">
        <v>41784629</v>
      </c>
      <c r="I87" s="22">
        <v>1802258</v>
      </c>
      <c r="J87" s="157">
        <v>1.126571</v>
      </c>
      <c r="K87" s="81">
        <v>45915</v>
      </c>
      <c r="L87" s="107"/>
      <c r="M87" s="28"/>
      <c r="N87" s="157"/>
      <c r="O87" s="3"/>
      <c r="P87" s="107"/>
      <c r="Q87" s="28"/>
      <c r="R87" s="157"/>
      <c r="S87" s="3"/>
      <c r="U87" s="2"/>
      <c r="V87" s="23"/>
      <c r="W87" s="2"/>
    </row>
    <row r="88" spans="1:23" x14ac:dyDescent="0.2">
      <c r="A88" s="11" t="s">
        <v>120</v>
      </c>
      <c r="B88" s="177" t="s">
        <v>159</v>
      </c>
      <c r="C88" s="175" t="s">
        <v>179</v>
      </c>
      <c r="D88" s="202">
        <v>15225745</v>
      </c>
      <c r="E88" s="22">
        <v>745000</v>
      </c>
      <c r="F88" s="157">
        <v>1.0779799999999999</v>
      </c>
      <c r="G88" s="76">
        <v>45832</v>
      </c>
      <c r="H88" s="134">
        <v>20892313</v>
      </c>
      <c r="I88" s="22">
        <v>901127</v>
      </c>
      <c r="J88" s="157">
        <v>1.126571</v>
      </c>
      <c r="K88" s="81">
        <v>45915</v>
      </c>
      <c r="L88" s="107"/>
      <c r="M88" s="28"/>
      <c r="N88" s="157"/>
      <c r="O88" s="3"/>
      <c r="P88" s="107"/>
      <c r="Q88" s="28"/>
      <c r="R88" s="157"/>
      <c r="S88" s="3"/>
      <c r="U88" s="2"/>
      <c r="V88" s="23"/>
      <c r="W88" s="2"/>
    </row>
    <row r="89" spans="1:23" x14ac:dyDescent="0.2">
      <c r="A89" s="12" t="s">
        <v>121</v>
      </c>
      <c r="B89" s="178" t="s">
        <v>159</v>
      </c>
      <c r="C89" s="175" t="s">
        <v>179</v>
      </c>
      <c r="D89" s="111">
        <v>1827084</v>
      </c>
      <c r="E89" s="24">
        <v>89398</v>
      </c>
      <c r="F89" s="155">
        <v>1.0779799999999999</v>
      </c>
      <c r="G89" s="101">
        <v>45832</v>
      </c>
      <c r="H89" s="111">
        <v>2507077</v>
      </c>
      <c r="I89" s="24">
        <v>108135</v>
      </c>
      <c r="J89" s="155">
        <v>1.126571</v>
      </c>
      <c r="K89" s="25">
        <v>45915</v>
      </c>
      <c r="L89" s="110"/>
      <c r="M89" s="27"/>
      <c r="N89" s="155"/>
      <c r="O89" s="5"/>
      <c r="P89" s="110"/>
      <c r="Q89" s="27"/>
      <c r="R89" s="155"/>
      <c r="S89" s="5"/>
      <c r="U89" s="2"/>
      <c r="V89" s="23"/>
      <c r="W89" s="2"/>
    </row>
    <row r="90" spans="1:23" x14ac:dyDescent="0.2">
      <c r="A90" s="11" t="s">
        <v>160</v>
      </c>
      <c r="B90" s="177" t="s">
        <v>162</v>
      </c>
      <c r="C90" s="175" t="e">
        <v>#N/A</v>
      </c>
      <c r="D90" s="202" t="s">
        <v>163</v>
      </c>
      <c r="E90" s="22" t="s">
        <v>163</v>
      </c>
      <c r="F90" s="157" t="s">
        <v>163</v>
      </c>
      <c r="G90" s="76" t="s">
        <v>163</v>
      </c>
      <c r="H90" s="134" t="s">
        <v>163</v>
      </c>
      <c r="I90" s="26" t="s">
        <v>163</v>
      </c>
      <c r="J90" s="157" t="s">
        <v>163</v>
      </c>
      <c r="K90" s="43" t="s">
        <v>163</v>
      </c>
      <c r="L90" s="107"/>
      <c r="M90" s="28"/>
      <c r="N90" s="157"/>
      <c r="O90" s="3"/>
      <c r="P90" s="107"/>
      <c r="Q90" s="28"/>
      <c r="R90" s="157"/>
      <c r="S90" s="3"/>
      <c r="U90" s="2"/>
      <c r="V90" s="23"/>
      <c r="W90" s="2"/>
    </row>
    <row r="91" spans="1:23" ht="12" thickBot="1" x14ac:dyDescent="0.25">
      <c r="A91" s="12" t="s">
        <v>161</v>
      </c>
      <c r="B91" s="178" t="s">
        <v>162</v>
      </c>
      <c r="C91" s="175" t="e">
        <v>#N/A</v>
      </c>
      <c r="D91" s="210" t="s">
        <v>163</v>
      </c>
      <c r="E91" s="33" t="s">
        <v>163</v>
      </c>
      <c r="F91" s="211" t="s">
        <v>163</v>
      </c>
      <c r="G91" s="212" t="s">
        <v>163</v>
      </c>
      <c r="H91" s="111" t="s">
        <v>163</v>
      </c>
      <c r="I91" s="27" t="s">
        <v>163</v>
      </c>
      <c r="J91" s="155" t="s">
        <v>163</v>
      </c>
      <c r="K91" s="148" t="s">
        <v>163</v>
      </c>
      <c r="L91" s="110"/>
      <c r="M91" s="27"/>
      <c r="N91" s="155"/>
      <c r="O91" s="5"/>
      <c r="P91" s="110"/>
      <c r="Q91" s="27"/>
      <c r="R91" s="155"/>
      <c r="S91" s="5"/>
      <c r="U91" s="2"/>
      <c r="V91" s="23"/>
      <c r="W91" s="2"/>
    </row>
    <row r="92" spans="1:23" s="237" customFormat="1" ht="14.4" x14ac:dyDescent="0.3">
      <c r="C92" s="238" t="s">
        <v>207</v>
      </c>
      <c r="E92" s="239"/>
      <c r="F92" s="238">
        <v>3532.1782035000001</v>
      </c>
      <c r="G92" s="240">
        <v>45797</v>
      </c>
      <c r="H92" s="241"/>
      <c r="J92" s="242">
        <v>3536.2438029</v>
      </c>
      <c r="K92" s="240">
        <v>45889</v>
      </c>
      <c r="L92" s="243"/>
      <c r="N92" s="241"/>
      <c r="O92" s="241"/>
      <c r="P92" s="239"/>
      <c r="R92" s="244"/>
      <c r="S92" s="241"/>
    </row>
    <row r="93" spans="1:23" s="237" customFormat="1" ht="14.4" x14ac:dyDescent="0.3">
      <c r="C93" s="238" t="s">
        <v>208</v>
      </c>
      <c r="E93" s="239"/>
      <c r="F93" s="238">
        <v>3532.1782035000001</v>
      </c>
      <c r="G93" s="240">
        <v>45797</v>
      </c>
      <c r="H93" s="241"/>
      <c r="J93" s="242">
        <v>3536.2438029</v>
      </c>
      <c r="K93" s="240">
        <v>45915</v>
      </c>
      <c r="L93" s="243"/>
      <c r="N93" s="241"/>
      <c r="O93" s="241"/>
      <c r="P93" s="239"/>
      <c r="R93" s="244"/>
      <c r="S93" s="241"/>
    </row>
    <row r="94" spans="1:23" s="237" customFormat="1" ht="15" thickBot="1" x14ac:dyDescent="0.35">
      <c r="C94" s="238" t="s">
        <v>209</v>
      </c>
      <c r="D94" s="245"/>
      <c r="E94" s="245"/>
      <c r="F94" s="238">
        <v>3532.1782035000001</v>
      </c>
      <c r="G94" s="240">
        <v>45797</v>
      </c>
      <c r="H94" s="245"/>
      <c r="I94" s="245"/>
      <c r="J94" s="242">
        <v>3536.2438029</v>
      </c>
      <c r="K94" s="240">
        <v>45915</v>
      </c>
      <c r="L94" s="245"/>
      <c r="M94" s="245"/>
      <c r="N94" s="245"/>
      <c r="O94" s="245"/>
      <c r="P94" s="245"/>
      <c r="Q94" s="245"/>
      <c r="R94" s="245"/>
      <c r="S94" s="245"/>
    </row>
    <row r="95" spans="1:23" s="237" customFormat="1" ht="14.4" x14ac:dyDescent="0.3">
      <c r="C95" s="238" t="s">
        <v>210</v>
      </c>
      <c r="E95" s="239"/>
      <c r="F95" s="238">
        <v>3532.1782035000001</v>
      </c>
      <c r="G95" s="240">
        <v>45797</v>
      </c>
      <c r="H95" s="241"/>
      <c r="J95" s="242">
        <v>3536.2438029</v>
      </c>
      <c r="K95" s="240">
        <v>45915</v>
      </c>
      <c r="L95" s="243"/>
      <c r="N95" s="241"/>
      <c r="O95" s="241"/>
      <c r="P95" s="239"/>
      <c r="R95" s="244"/>
      <c r="S95" s="241"/>
    </row>
    <row r="96" spans="1:23" s="237" customFormat="1" ht="14.4" x14ac:dyDescent="0.3">
      <c r="C96" s="238" t="s">
        <v>211</v>
      </c>
      <c r="E96" s="239"/>
      <c r="F96" s="238">
        <v>0.339227</v>
      </c>
      <c r="G96" s="240">
        <v>45797</v>
      </c>
      <c r="H96" s="241"/>
      <c r="J96" s="242">
        <v>0.33929500000000001</v>
      </c>
      <c r="K96" s="240">
        <v>45915</v>
      </c>
      <c r="L96" s="243"/>
      <c r="N96" s="241"/>
      <c r="O96" s="241"/>
      <c r="P96" s="239"/>
      <c r="R96" s="244"/>
      <c r="S96" s="241"/>
    </row>
  </sheetData>
  <mergeCells count="6">
    <mergeCell ref="A1:A3"/>
    <mergeCell ref="E1:S3"/>
    <mergeCell ref="D4:G4"/>
    <mergeCell ref="H4:K4"/>
    <mergeCell ref="L4:O4"/>
    <mergeCell ref="P4:S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Edyth Juliana</dc:creator>
  <cp:lastModifiedBy>Parrado Cardenas, Daniel Alfonso</cp:lastModifiedBy>
  <dcterms:created xsi:type="dcterms:W3CDTF">2021-04-09T15:20:18Z</dcterms:created>
  <dcterms:modified xsi:type="dcterms:W3CDTF">2025-12-29T21:27:00Z</dcterms:modified>
</cp:coreProperties>
</file>